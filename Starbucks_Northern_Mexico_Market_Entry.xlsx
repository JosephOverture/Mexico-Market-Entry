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eb9474f9f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020f8d36f254086"/>
    <x:sheet xmlns:r="http://schemas.openxmlformats.org/officeDocument/2006/relationships" name="Market Inputs" sheetId="2" r:id="R0c6a7f77763d42fa"/>
    <x:sheet xmlns:r="http://schemas.openxmlformats.org/officeDocument/2006/relationships" name="City Scorecard" sheetId="3" r:id="R6c7db4fa2c4146e8"/>
    <x:sheet xmlns:r="http://schemas.openxmlformats.org/officeDocument/2006/relationships" name="Rollout Plan" sheetId="4" r:id="R8341346a73604019"/>
    <x:sheet xmlns:r="http://schemas.openxmlformats.org/officeDocument/2006/relationships" name="Unit Economics" sheetId="5" r:id="Ra6d064143eb24b8e"/>
    <x:sheet xmlns:r="http://schemas.openxmlformats.org/officeDocument/2006/relationships" name="5-Year P&amp;L" sheetId="6" r:id="Rfa1d86d1d3034f9b"/>
    <x:sheet xmlns:r="http://schemas.openxmlformats.org/officeDocument/2006/relationships" name="Sensitivity" sheetId="7" r:id="Rcd6389f2f69348bc"/>
    <x:sheet xmlns:r="http://schemas.openxmlformats.org/officeDocument/2006/relationships" name="Dashboard" sheetId="8" r:id="Ra76a1a31c8c94466"/>
    <x:sheet xmlns:r="http://schemas.openxmlformats.org/officeDocument/2006/relationships" name="Sources" sheetId="9" r:id="R54c279d1b061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"/>
    <x:numFmt numFmtId="201" formatCode="0.0%;[Red](0.0%);-"/>
    <x:numFmt numFmtId="202" formatCode="0"/>
    <x:numFmt numFmtId="203" formatCode="0.0"/>
    <x:numFmt numFmtId="204" formatCode="$0.00"/>
    <x:numFmt numFmtId="205" formatCode="$#,##0.0;[Red]($#,##0.0);-"/>
    <x:numFmt numFmtId="206" formatCode="0.0x"/>
    <x:numFmt numFmtId="207" formatCode="0.000x"/>
    <x:numFmt numFmtId="208" formatCode="0.0%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color rgb="FF0000FF"/>
      <x:name val="Carlito"/>
    </x:font>
    <x:font>
      <x:b/>
      <x:sz val="11"/>
      <x:color rgb="FF008000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1"/>
      <x:color rgb="FF0B1F33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3"/>
      <x:color rgb="FF0B1F33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4F7FA"/>
      </x:patternFill>
    </x:fill>
  </x:fills>
  <x:borders count="6">
    <x:border/>
    <x:border/>
    <x:border>
      <x:top style="thin">
        <x:color rgb="FF000000"/>
      </x:top>
    </x:border>
    <x:border>
      <x:top style="thin">
        <x:color rgb="FF000000"/>
      </x:top>
    </x:border>
    <x:border>
      <x:top style="double">
        <x:color rgb="FF0B1F33"/>
      </x:top>
    </x:border>
    <x:border>
      <x:top style="thin">
        <x:color rgb="FF0B1F33"/>
      </x:top>
    </x:border>
  </x:borders>
  <x:cellStyleXfs count="1">
    <x:xf numFmtId="0" fontId="0" fillId="0" borderId="0"/>
  </x:cellStyleXfs>
  <x:cellXfs count="1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202" fontId="8" fillId="0" borderId="0" xfId="0" applyNumberFormat="1" applyFont="1" applyFill="1" applyBorder="1"/>
    <x:xf numFmtId="202" fontId="8" fillId="0" borderId="1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horizont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horizont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1" fontId="8" fillId="4" borderId="0" xfId="0" applyNumberFormat="1" applyFont="1" applyFill="1" applyBorder="1"/>
    <x:xf numFmtId="201" fontId="8" fillId="4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0" fontId="10" fillId="0" borderId="0" xfId="0" applyNumberFormat="1" applyFont="1" applyFill="1" applyBorder="1"/>
    <x:xf numFmtId="200" fontId="10" fillId="0" borderId="1" xfId="0" applyNumberFormat="1" applyFont="1" applyFill="1" applyBorder="1"/>
    <x:xf numFmtId="201" fontId="10" fillId="0" borderId="0" xfId="0" applyNumberFormat="1" applyFont="1" applyFill="1" applyBorder="1"/>
    <x:xf numFmtId="201" fontId="10" fillId="0" borderId="1" xfId="0" applyNumberFormat="1" applyFont="1" applyFill="1" applyBorder="1"/>
    <x:xf numFmtId="203" fontId="10" fillId="0" borderId="0" xfId="0" applyNumberFormat="1" applyFont="1" applyFill="1" applyBorder="1"/>
    <x:xf numFmtId="203" fontId="11" fillId="0" borderId="0" xfId="0" applyNumberFormat="1" applyFont="1" applyFill="1" applyBorder="1"/>
    <x:xf numFmtId="203" fontId="10" fillId="0" borderId="1" xfId="0" applyNumberFormat="1" applyFont="1" applyFill="1" applyBorder="1"/>
    <x:xf numFmtId="203" fontId="11" fillId="0" borderId="1" xfId="0" applyNumberFormat="1" applyFont="1" applyFill="1" applyBorder="1"/>
    <x:xf numFmtId="202" fontId="11" fillId="0" borderId="0" xfId="0" applyNumberFormat="1" applyFont="1" applyFill="1" applyBorder="1"/>
    <x:xf numFmtId="202" fontId="11" fillId="0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6" fillId="0" borderId="2" xfId="0" applyNumberFormat="1" applyFont="1" applyFill="1" applyBorder="1"/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6" fillId="0" borderId="3" xfId="0" applyNumberFormat="1" applyFont="1" applyFill="1" applyBorder="1"/>
    <x:xf numFmtId="202" fontId="8" fillId="4" borderId="0" xfId="0" applyNumberFormat="1" applyFont="1" applyFill="1" applyBorder="1"/>
    <x:xf numFmtId="202" fontId="10" fillId="0" borderId="0" xfId="0" applyNumberFormat="1" applyFont="1" applyFill="1" applyBorder="1"/>
    <x:xf numFmtId="202" fontId="7" fillId="0" borderId="2" xfId="0" applyNumberFormat="1" applyFont="1" applyFill="1" applyBorder="1"/>
    <x:xf numFmtId="202" fontId="6" fillId="0" borderId="2" xfId="0" applyNumberFormat="1" applyFont="1" applyFill="1" applyBorder="1"/>
    <x:xf numFmtId="202" fontId="8" fillId="4" borderId="1" xfId="0" applyNumberFormat="1" applyFont="1" applyFill="1" applyBorder="1"/>
    <x:xf numFmtId="202" fontId="10" fillId="0" borderId="1" xfId="0" applyNumberFormat="1" applyFont="1" applyFill="1" applyBorder="1"/>
    <x:xf numFmtId="202" fontId="7" fillId="0" borderId="3" xfId="0" applyNumberFormat="1" applyFont="1" applyFill="1" applyBorder="1"/>
    <x:xf numFmtId="202" fontId="6" fillId="0" borderId="3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204" fontId="8" fillId="4" borderId="0" xfId="0" applyNumberFormat="1" applyFont="1" applyFill="1" applyBorder="1"/>
    <x:xf numFmtId="204" fontId="8" fillId="4" borderId="1" xfId="0" applyNumberFormat="1" applyFont="1" applyFill="1" applyBorder="1"/>
    <x:xf numFmtId="205" fontId="11" fillId="0" borderId="0" xfId="0" applyNumberFormat="1" applyFont="1" applyFill="1" applyBorder="1"/>
    <x:xf numFmtId="205" fontId="11" fillId="0" borderId="1" xfId="0" applyNumberFormat="1" applyFont="1" applyFill="1" applyBorder="1"/>
    <x:xf numFmtId="205" fontId="8" fillId="4" borderId="0" xfId="0" applyNumberFormat="1" applyFont="1" applyFill="1" applyBorder="1"/>
    <x:xf numFmtId="205" fontId="8" fillId="4" borderId="1" xfId="0" applyNumberFormat="1" applyFont="1" applyFill="1" applyBorder="1"/>
    <x:xf numFmtId="206" fontId="11" fillId="0" borderId="0" xfId="0" applyNumberFormat="1" applyFont="1" applyFill="1" applyBorder="1"/>
    <x:xf numFmtId="206" fontId="11" fillId="0" borderId="1" xfId="0" applyNumberFormat="1" applyFont="1" applyFill="1" applyBorder="1"/>
    <x:xf numFmtId="205" fontId="10" fillId="0" borderId="0" xfId="0" applyNumberFormat="1" applyFont="1" applyFill="1" applyBorder="1"/>
    <x:xf numFmtId="205" fontId="10" fillId="0" borderId="1" xfId="0" applyNumberFormat="1" applyFont="1" applyFill="1" applyBorder="1"/>
    <x:xf numFmtId="207" fontId="10" fillId="0" borderId="0" xfId="0" applyNumberFormat="1" applyFont="1" applyFill="1" applyBorder="1"/>
    <x:xf numFmtId="207" fontId="10" fillId="0" borderId="1" xfId="0" applyNumberFormat="1" applyFont="1" applyFill="1" applyBorder="1"/>
    <x:xf numFmtId="205" fontId="5" fillId="0" borderId="0" xfId="0" applyNumberFormat="1" applyFont="1" applyFill="1" applyBorder="1"/>
    <x:xf numFmtId="205" fontId="5" fillId="0" borderId="2" xfId="0" applyNumberFormat="1" applyFont="1" applyFill="1" applyBorder="1"/>
    <x:xf numFmtId="205" fontId="5" fillId="0" borderId="1" xfId="0" applyNumberFormat="1" applyFont="1" applyFill="1" applyBorder="1"/>
    <x:xf numFmtId="205" fontId="5" fillId="0" borderId="3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208" fontId="8" fillId="9" borderId="0" xfId="0" applyNumberFormat="1" applyFont="1" applyFill="1" applyBorder="1"/>
    <x:xf numFmtId="0" fontId="0" fillId="10" borderId="0" xfId="0" applyNumberFormat="1" applyFont="1" applyFill="1" applyBorder="1"/>
    <x:xf numFmtId="205" fontId="11" fillId="10" borderId="0" xfId="0" applyNumberFormat="1" applyFont="1" applyFill="1" applyBorder="1"/>
    <x:xf numFmtId="0" fontId="6" fillId="10" borderId="0" xfId="0" applyNumberFormat="1" applyFont="1" applyFill="1" applyBorder="1"/>
    <x:xf numFmtId="205" fontId="6" fillId="10" borderId="0" xfId="0" applyNumberFormat="1" applyFont="1" applyFill="1" applyBorder="1"/>
    <x:xf numFmtId="0" fontId="6" fillId="10" borderId="4" xfId="0" applyNumberFormat="1" applyFont="1" applyFill="1" applyBorder="1"/>
    <x:xf numFmtId="205" fontId="6" fillId="10" borderId="4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205" fontId="1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72e2c17704358" /><Relationship Type="http://schemas.openxmlformats.org/officeDocument/2006/relationships/theme" Target="/xl/theme/theme1.xml" Id="R3591bfdea7654f31" /><Relationship Type="http://schemas.openxmlformats.org/officeDocument/2006/relationships/sharedStrings" Target="/xl/sharedStrings.xml" Id="R2b176a2659dd4564" /><Relationship Type="http://schemas.openxmlformats.org/officeDocument/2006/relationships/worksheet" Target="/xl/worksheets/sheet1.xml" Id="Rb020f8d36f254086" /><Relationship Type="http://schemas.openxmlformats.org/officeDocument/2006/relationships/worksheet" Target="/xl/worksheets/sheet2.xml" Id="R0c6a7f77763d42fa" /><Relationship Type="http://schemas.openxmlformats.org/officeDocument/2006/relationships/worksheet" Target="/xl/worksheets/sheet3.xml" Id="R6c7db4fa2c4146e8" /><Relationship Type="http://schemas.openxmlformats.org/officeDocument/2006/relationships/worksheet" Target="/xl/worksheets/sheet4.xml" Id="R8341346a73604019" /><Relationship Type="http://schemas.openxmlformats.org/officeDocument/2006/relationships/worksheet" Target="/xl/worksheets/sheet5.xml" Id="Ra6d064143eb24b8e" /><Relationship Type="http://schemas.openxmlformats.org/officeDocument/2006/relationships/worksheet" Target="/xl/worksheets/sheet6.xml" Id="Rfa1d86d1d3034f9b" /><Relationship Type="http://schemas.openxmlformats.org/officeDocument/2006/relationships/worksheet" Target="/xl/worksheets/sheet7.xml" Id="Rcd6389f2f69348bc" /><Relationship Type="http://schemas.openxmlformats.org/officeDocument/2006/relationships/worksheet" Target="/xl/worksheets/sheet8.xml" Id="Ra76a1a31c8c94466" /><Relationship Type="http://schemas.openxmlformats.org/officeDocument/2006/relationships/worksheet" Target="/xl/worksheets/sheet9.xml" Id="R54c279d1b06147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6621bc2d7e42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City attractiveness score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Attractiveness score</c:v>
          </c:tx>
          <c:cat>
            <c:strRef>
              <c:f>'Dashboard'!$A$5:$A$9</c:f>
              <c:strCache>
                <c:ptCount val="0"/>
              </c:strCache>
            </c:strRef>
          </c:cat>
          <c:val>
            <c:numRef>
              <c:f>'Dashboard'!$B$5:$B$9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6621bc2d7e424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20a8d5d80b7e4a2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Starbucks Northern Mexico Market Entry Strategy</x:v>
      </x:c>
      <x:c r="B1" s="5"/>
      <x:c r="C1" s="5"/>
      <x:c r="D1" s="5"/>
      <x:c r="E1" s="5"/>
      <x:c r="F1" s="5"/>
      <x:c r="G1" s="5"/>
      <x:c r="H1" s="5"/>
    </x:row>
    <x:row r="3" ht="21" customHeight="1">
      <x:c r="A3" s="13" t="str">
        <x:v>Case question</x:v>
      </x:c>
      <x:c r="B3" s="13"/>
      <x:c r="C3" s="13"/>
      <x:c r="D3" s="13"/>
      <x:c r="E3" s="13"/>
      <x:c r="F3" s="13"/>
      <x:c r="G3" s="13"/>
      <x:c r="H3" s="13"/>
    </x:row>
    <x:row r="4">
      <x:c r="A4" s="19" t="str">
        <x:v>Should Starbucks Mexico pursue a staged 30-store expansion across Monterrey, Tijuana, Saltillo, Chihuahua and Hermosillo? The model combines official population and state-GDP data with transparent, user-editable commercial assumptions.</x:v>
      </x:c>
      <x:c r="B4" s="19"/>
      <x:c r="C4" s="19"/>
      <x:c r="D4" s="19"/>
      <x:c r="E4" s="19"/>
      <x:c r="F4" s="19"/>
      <x:c r="G4" s="19"/>
      <x:c r="H4" s="19"/>
    </x:row>
    <x:row r="5">
      <x:c r="A5" s="19"/>
      <x:c r="B5" s="19"/>
      <x:c r="C5" s="19"/>
      <x:c r="D5" s="19"/>
      <x:c r="E5" s="19"/>
      <x:c r="F5" s="19"/>
      <x:c r="G5" s="19"/>
      <x:c r="H5" s="19"/>
    </x:row>
    <x:row r="6">
      <x:c r="A6" s="19"/>
      <x:c r="B6" s="19"/>
      <x:c r="C6" s="19"/>
      <x:c r="D6" s="19"/>
      <x:c r="E6" s="19"/>
      <x:c r="F6" s="19"/>
      <x:c r="G6" s="19"/>
      <x:c r="H6" s="19"/>
    </x:row>
    <x:row r="7">
      <x:c r="A7" s="19"/>
      <x:c r="B7" s="19"/>
      <x:c r="C7" s="19"/>
      <x:c r="D7" s="19"/>
      <x:c r="E7" s="19"/>
      <x:c r="F7" s="19"/>
      <x:c r="G7" s="19"/>
      <x:c r="H7" s="19"/>
    </x:row>
    <x:row r="9" ht="21" customHeight="1">
      <x:c r="A9" s="13" t="str">
        <x:v>What is factual vs assumed</x:v>
      </x:c>
      <x:c r="B9" s="13"/>
      <x:c r="C9" s="13"/>
      <x:c r="D9" s="13"/>
      <x:c r="E9" s="13"/>
      <x:c r="F9" s="13"/>
      <x:c r="G9" s="13"/>
      <x:c r="H9" s="13"/>
    </x:row>
    <x:row r="10">
      <x:c r="A10" s="24" t="str">
        <x:v>Reported / sourced</x:v>
      </x:c>
      <x:c r="B10" s="18" t="str">
        <x:v>2020 metro populations, 2024 state GDP shares, Alsea performance context, Starbucks Mexico store milestone/target.</x:v>
      </x:c>
      <x:c r="C10" s="18" t="str"/>
      <x:c r="D10" s="18" t="str"/>
      <x:c r="E10" s="18" t="str"/>
      <x:c r="F10" s="18" t="str"/>
      <x:c r="G10" s="18" t="str"/>
      <x:c r="H10" s="18" t="str"/>
    </x:row>
    <x:row r="11">
      <x:c r="A11" s="24" t="str">
        <x:v>Modeled assumptions</x:v>
      </x:c>
      <x:c r="B11" s="18" t="str">
        <x:v>Income index, saturation headroom, strategic fit, average ticket, transactions, margins, capex, ramp and rollout.</x:v>
      </x:c>
      <x:c r="C11" s="18" t="str"/>
      <x:c r="D11" s="18" t="str"/>
      <x:c r="E11" s="18" t="str"/>
      <x:c r="F11" s="18" t="str"/>
      <x:c r="G11" s="18" t="str"/>
      <x:c r="H11" s="18" t="str"/>
    </x:row>
    <x:row r="12">
      <x:c r="A12" s="24" t="str">
        <x:v>Recommendation</x:v>
      </x:c>
      <x:c r="B12" s="18" t="str">
        <x:v>Pilot first, expand only after store-level economics and cannibalization meet predefined gates.</x:v>
      </x:c>
      <x:c r="C12" s="18" t="str"/>
      <x:c r="D12" s="18" t="str"/>
      <x:c r="E12" s="18" t="str"/>
      <x:c r="F12" s="18" t="str"/>
      <x:c r="G12" s="18" t="str"/>
      <x:c r="H12" s="18" t="str"/>
    </x:row>
    <x:row r="13">
      <x:c r="A13" s="18" t="str"/>
      <x:c r="B13" s="18" t="str">
        <x:v>This is an independent student case, not an Alsea or Starbucks plan.</x:v>
      </x:c>
      <x:c r="C13" s="18" t="str"/>
      <x:c r="D13" s="18" t="str"/>
      <x:c r="E13" s="18" t="str"/>
      <x:c r="F13" s="18" t="str"/>
      <x:c r="G13" s="18" t="str"/>
      <x:c r="H13" s="18" t="str"/>
    </x:row>
    <x:row r="14">
      <x:c r="A14" s="18" t="str"/>
      <x:c r="B14" s="18" t="str">
        <x:v>All yellow/blue cells should be stress-tested and adapted after primary research.</x:v>
      </x:c>
      <x:c r="C14" s="18" t="str"/>
      <x:c r="D14" s="18" t="str"/>
      <x:c r="E14" s="18" t="str"/>
      <x:c r="F14" s="18" t="str"/>
      <x:c r="G14" s="18" t="str"/>
      <x:c r="H14" s="18" t="str"/>
    </x:row>
    <x:row r="15">
      <x:c r="A15" s="18" t="str"/>
      <x:c r="B15" s="18" t="str">
        <x:v>Do not present modeled assumptions as facts.</x:v>
      </x:c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</x:row>
    <x:row r="19" ht="21" customHeight="1">
      <x:c r="A19" s="13" t="str">
        <x:v>Model color convention</x:v>
      </x:c>
      <x:c r="B19" s="13"/>
      <x:c r="C19" s="13"/>
      <x:c r="D19" s="13"/>
      <x:c r="E19" s="13"/>
      <x:c r="F19" s="13"/>
    </x:row>
    <x:row r="20">
      <x:c r="A20" s="36" t="str">
        <x:v>Blue font</x:v>
      </x:c>
      <x:c r="B20" s="18" t="str">
        <x:v>Hardcoded inputs / user-editable assumptions</x:v>
      </x:c>
      <x:c r="C20" s="18"/>
      <x:c r="D20" s="18"/>
      <x:c r="E20" s="18"/>
      <x:c r="F20" s="18"/>
    </x:row>
    <x:row r="21">
      <x:c r="A21" s="37" t="str">
        <x:v>Green font</x:v>
      </x:c>
      <x:c r="B21" s="18" t="str">
        <x:v>Links to another worksheet</x:v>
      </x:c>
      <x:c r="C21" s="18"/>
      <x:c r="D21" s="18"/>
      <x:c r="E21" s="18"/>
      <x:c r="F21" s="18"/>
    </x:row>
    <x:row r="22">
      <x:c r="A22" s="38" t="str">
        <x:v>Black font</x:v>
      </x:c>
      <x:c r="B22" s="18" t="str">
        <x:v>Formulas and calculations</x:v>
      </x:c>
      <x:c r="C22" s="18"/>
      <x:c r="D22" s="18"/>
      <x:c r="E22" s="18"/>
      <x:c r="F22" s="18"/>
    </x:row>
    <x:row r="23">
      <x:c r="A23" s="39" t="str">
        <x:v>Yellow fill</x:v>
      </x:c>
      <x:c r="B23" s="18" t="str">
        <x:v>Key assumptions requiring review</x:v>
      </x:c>
      <x:c r="C23" s="18"/>
      <x:c r="D23" s="18"/>
      <x:c r="E23" s="18"/>
      <x:c r="F23" s="18"/>
    </x:row>
  </x:sheetData>
  <x:mergeCells>
    <x:mergeCell ref="A1:H1"/>
    <x:mergeCell ref="A3:H3"/>
    <x:mergeCell ref="A4:H7"/>
    <x:mergeCell ref="A9:H9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40" hidden="0" customWidth="1"/>
  </x:cols>
  <x:sheetData>
    <x:row r="1" ht="30" customHeight="1">
      <x:c r="A1" s="5" t="str">
        <x:v>Northern Mexico market inputs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46" t="str">
        <x:v>City / metro</x:v>
      </x:c>
      <x:c r="B3" s="46" t="str">
        <x:v>State</x:v>
      </x:c>
      <x:c r="C3" s="46" t="str">
        <x:v>2020 metro population (mm)</x:v>
      </x:c>
      <x:c r="D3" s="46" t="str">
        <x:v>2024 state GDP share</x:v>
      </x:c>
      <x:c r="E3" s="46" t="str">
        <x:v>Premium-income index</x:v>
      </x:c>
      <x:c r="F3" s="46" t="str">
        <x:v>Saturation headroom</x:v>
      </x:c>
      <x:c r="G3" s="46" t="str">
        <x:v>Strategic-fit index</x:v>
      </x:c>
      <x:c r="H3" s="46" t="str">
        <x:v>Source ID</x:v>
      </x:c>
      <x:c r="I3" s="46" t="str">
        <x:v>Assumption note</x:v>
      </x:c>
    </x:row>
    <x:row r="4">
      <x:c r="A4" s="50" t="str">
        <x:v>Monterrey</x:v>
      </x:c>
      <x:c r="B4" s="50" t="str">
        <x:v>Nuevo Leon</x:v>
      </x:c>
      <x:c r="C4" s="52" t="n">
        <x:v>5.341177</x:v>
      </x:c>
      <x:c r="D4" s="54" t="n">
        <x:v>0.081</x:v>
      </x:c>
      <x:c r="E4" s="56" t="n">
        <x:v>100</x:v>
      </x:c>
      <x:c r="F4" s="56" t="n">
        <x:v>70</x:v>
      </x:c>
      <x:c r="G4" s="56" t="n">
        <x:v>95</x:v>
      </x:c>
      <x:c r="H4" s="50" t="str">
        <x:v>S1/S2</x:v>
      </x:c>
      <x:c r="I4" s="50" t="str">
        <x:v>Income/headroom/fit are modeled indices</x:v>
      </x:c>
    </x:row>
    <x:row r="5">
      <x:c r="A5" s="50" t="str">
        <x:v>Tijuana</x:v>
      </x:c>
      <x:c r="B5" s="50" t="str">
        <x:v>Baja California</x:v>
      </x:c>
      <x:c r="C5" s="52" t="n">
        <x:v>2.157853</x:v>
      </x:c>
      <x:c r="D5" s="54" t="n">
        <x:v>0.039</x:v>
      </x:c>
      <x:c r="E5" s="56" t="n">
        <x:v>92</x:v>
      </x:c>
      <x:c r="F5" s="56" t="n">
        <x:v>85</x:v>
      </x:c>
      <x:c r="G5" s="56" t="n">
        <x:v>90</x:v>
      </x:c>
      <x:c r="H5" s="50" t="str">
        <x:v>S1/S2</x:v>
      </x:c>
      <x:c r="I5" s="50" t="str">
        <x:v>Border tourism and cross-border exposure</x:v>
      </x:c>
    </x:row>
    <x:row r="6">
      <x:c r="A6" s="50" t="str">
        <x:v>Saltillo</x:v>
      </x:c>
      <x:c r="B6" s="50" t="str">
        <x:v>Coahuila</x:v>
      </x:c>
      <x:c r="C6" s="52" t="n">
        <x:v>1.031779</x:v>
      </x:c>
      <x:c r="D6" s="54" t="n">
        <x:v>0.037</x:v>
      </x:c>
      <x:c r="E6" s="56" t="n">
        <x:v>88</x:v>
      </x:c>
      <x:c r="F6" s="56" t="n">
        <x:v>90</x:v>
      </x:c>
      <x:c r="G6" s="56" t="n">
        <x:v>82</x:v>
      </x:c>
      <x:c r="H6" s="50" t="str">
        <x:v>S1/S2</x:v>
      </x:c>
      <x:c r="I6" s="50" t="str">
        <x:v>Industrial cluster and proximity to Monterrey</x:v>
      </x:c>
    </x:row>
    <x:row r="7">
      <x:c r="A7" s="50" t="str">
        <x:v>Chihuahua</x:v>
      </x:c>
      <x:c r="B7" s="50" t="str">
        <x:v>Chihuahua</x:v>
      </x:c>
      <x:c r="C7" s="52" t="n">
        <x:v>0.988065</x:v>
      </x:c>
      <x:c r="D7" s="54" t="n">
        <x:v>0.038</x:v>
      </x:c>
      <x:c r="E7" s="56" t="n">
        <x:v>84</x:v>
      </x:c>
      <x:c r="F7" s="56" t="n">
        <x:v>88</x:v>
      </x:c>
      <x:c r="G7" s="56" t="n">
        <x:v>78</x:v>
      </x:c>
      <x:c r="H7" s="50" t="str">
        <x:v>S1/S2</x:v>
      </x:c>
      <x:c r="I7" s="50" t="str">
        <x:v>Regional business hub</x:v>
      </x:c>
    </x:row>
    <x:row r="8">
      <x:c r="A8" s="50" t="str">
        <x:v>Hermosillo</x:v>
      </x:c>
      <x:c r="B8" s="50" t="str">
        <x:v>Sonora</x:v>
      </x:c>
      <x:c r="C8" s="52" t="n">
        <x:v>0.936263</x:v>
      </x:c>
      <x:c r="D8" s="54" t="n">
        <x:v>0.033</x:v>
      </x:c>
      <x:c r="E8" s="56" t="n">
        <x:v>86</x:v>
      </x:c>
      <x:c r="F8" s="56" t="n">
        <x:v>90</x:v>
      </x:c>
      <x:c r="G8" s="56" t="n">
        <x:v>80</x:v>
      </x:c>
      <x:c r="H8" s="50" t="str">
        <x:v>S1/S2</x:v>
      </x:c>
      <x:c r="I8" s="50" t="str">
        <x:v>Affluent regional hub; lower scale</x:v>
      </x:c>
    </x:row>
    <x:row r="11" ht="21" customHeight="1">
      <x:c r="A11" s="13" t="str">
        <x:v>Attractiveness weights</x:v>
      </x:c>
      <x:c r="B11" s="13"/>
      <x:c r="C11" s="13"/>
      <x:c r="D11" s="13"/>
      <x:c r="F11" s="74" t="str">
        <x:v>Data limitation: metro population is from the 2020 census/delimitation framework and is not a 2026 forecast. State GDP share is not city GDP. The commercial indices are deliberately explicit assumptions, not externally reported data.</x:v>
      </x:c>
      <x:c r="G11" s="74"/>
      <x:c r="H11" s="74"/>
      <x:c r="I11" s="74"/>
    </x:row>
    <x:row r="12">
      <x:c r="A12" s="62" t="str">
        <x:v>Factor</x:v>
      </x:c>
      <x:c r="B12" s="62" t="str">
        <x:v>Weight</x:v>
      </x:c>
      <x:c r="C12" s="62" t="str">
        <x:v>Description</x:v>
      </x:c>
      <x:c r="F12" s="74"/>
      <x:c r="G12" s="74"/>
      <x:c r="H12" s="74"/>
      <x:c r="I12" s="74"/>
    </x:row>
    <x:row r="13">
      <x:c r="A13" t="str">
        <x:v>Population</x:v>
      </x:c>
      <x:c r="B13" s="70" t="n">
        <x:v>0.35</x:v>
      </x:c>
      <x:c r="C13" t="str">
        <x:v>Addressable scale</x:v>
      </x:c>
      <x:c r="F13" s="74"/>
      <x:c r="G13" s="74"/>
      <x:c r="H13" s="74"/>
      <x:c r="I13" s="74"/>
    </x:row>
    <x:row r="14">
      <x:c r="A14" t="str">
        <x:v>State GDP share</x:v>
      </x:c>
      <x:c r="B14" s="70" t="n">
        <x:v>0.2</x:v>
      </x:c>
      <x:c r="C14" t="str">
        <x:v>Economic density proxy</x:v>
      </x:c>
      <x:c r="F14" s="74"/>
      <x:c r="G14" s="74"/>
      <x:c r="H14" s="74"/>
      <x:c r="I14" s="74"/>
    </x:row>
    <x:row r="15">
      <x:c r="A15" t="str">
        <x:v>Premium-income index</x:v>
      </x:c>
      <x:c r="B15" s="70" t="n">
        <x:v>0.2</x:v>
      </x:c>
      <x:c r="C15" t="str">
        <x:v>Modeled purchasing-power proxy</x:v>
      </x:c>
      <x:c r="F15" s="74"/>
      <x:c r="G15" s="74"/>
      <x:c r="H15" s="74"/>
      <x:c r="I15" s="74"/>
    </x:row>
    <x:row r="16">
      <x:c r="A16" t="str">
        <x:v>Saturation headroom</x:v>
      </x:c>
      <x:c r="B16" s="70" t="n">
        <x:v>0.15</x:v>
      </x:c>
      <x:c r="C16" t="str">
        <x:v>Modeled white-space proxy</x:v>
      </x:c>
      <x:c r="F16" s="74"/>
      <x:c r="G16" s="74"/>
      <x:c r="H16" s="74"/>
      <x:c r="I16" s="74"/>
    </x:row>
    <x:row r="17">
      <x:c r="A17" t="str">
        <x:v>Strategic fit</x:v>
      </x:c>
      <x:c r="B17" s="70" t="n">
        <x:v>0.1</x:v>
      </x:c>
      <x:c r="C17" t="str">
        <x:v>Cluster, tourism and brand-fit judgment</x:v>
      </x:c>
    </x:row>
  </x:sheetData>
  <x:mergeCells>
    <x:mergeCell ref="A1:I1"/>
    <x:mergeCell ref="A11:D11"/>
    <x:mergeCell ref="F11:I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8" hidden="0" customWidth="1"/>
  </x:cols>
  <x:sheetData>
    <x:row r="1" ht="30" customHeight="1">
      <x:c r="A1" s="5" t="str">
        <x:v>City attractiveness scorecard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46" t="str">
        <x:v>City</x:v>
      </x:c>
      <x:c r="B3" s="46" t="str">
        <x:v>Population</x:v>
      </x:c>
      <x:c r="C3" s="46" t="str">
        <x:v>GDP share</x:v>
      </x:c>
      <x:c r="D3" s="46" t="str">
        <x:v>Income index</x:v>
      </x:c>
      <x:c r="E3" s="46" t="str">
        <x:v>Headroom</x:v>
      </x:c>
      <x:c r="F3" s="46" t="str">
        <x:v>Strategic fit</x:v>
      </x:c>
      <x:c r="G3" s="46" t="str">
        <x:v>Population score</x:v>
      </x:c>
      <x:c r="H3" s="46" t="str">
        <x:v>GDP score</x:v>
      </x:c>
      <x:c r="I3" s="46" t="str">
        <x:v>Income score</x:v>
      </x:c>
      <x:c r="J3" s="46" t="str">
        <x:v>Headroom score</x:v>
      </x:c>
      <x:c r="K3" s="46" t="str">
        <x:v>Fit score</x:v>
      </x:c>
      <x:c r="L3" s="46" t="str">
        <x:v>Weighted score</x:v>
      </x:c>
      <x:c r="M3" s="46" t="str">
        <x:v>Rank</x:v>
      </x:c>
    </x:row>
    <x:row r="4">
      <x:c r="A4" s="78" t="str">
        <x:f>'Market Inputs'!A4</x:f>
        <x:v>Monterrey</x:v>
      </x:c>
      <x:c r="B4" s="82" t="n">
        <x:f>'Market Inputs'!C4</x:f>
        <x:v>5.341177</x:v>
      </x:c>
      <x:c r="C4" s="84" t="n">
        <x:f>'Market Inputs'!D4</x:f>
        <x:v>0.081</x:v>
      </x:c>
      <x:c r="D4" s="86" t="n">
        <x:f>'Market Inputs'!E4</x:f>
        <x:v>100</x:v>
      </x:c>
      <x:c r="E4" s="86" t="n">
        <x:f>'Market Inputs'!F4</x:f>
        <x:v>70</x:v>
      </x:c>
      <x:c r="F4" s="86" t="n">
        <x:f>'Market Inputs'!G4</x:f>
        <x:v>95</x:v>
      </x:c>
      <x:c r="G4" s="87" t="n">
        <x:f>IF(MAX($B$4:$B$8)=MIN($B$4:$B$8),50,100*(B4-MIN($B$4:$B$8))/(MAX($B$4:$B$8)-MIN($B$4:$B$8)))</x:f>
        <x:v>100</x:v>
      </x:c>
      <x:c r="H4" s="87" t="n">
        <x:f>IF(MAX($C$4:$C$8)=MIN($C$4:$C$8),50,100*(C4-MIN($C$4:$C$8))/(MAX($C$4:$C$8)-MIN($C$4:$C$8)))</x:f>
        <x:v>100</x:v>
      </x:c>
      <x:c r="I4" s="87" t="n">
        <x:f>D4</x:f>
        <x:v>100</x:v>
      </x:c>
      <x:c r="J4" s="87" t="n">
        <x:f>E4</x:f>
        <x:v>70</x:v>
      </x:c>
      <x:c r="K4" s="87" t="n">
        <x:f>F4</x:f>
        <x:v>95</x:v>
      </x:c>
      <x:c r="L4" s="87" t="n">
        <x:f>G4*'Market Inputs'!$B$13+H4*'Market Inputs'!$B$14+I4*'Market Inputs'!$B$15+J4*'Market Inputs'!$B$16+K4*'Market Inputs'!$B$17</x:f>
        <x:v>95</x:v>
      </x:c>
      <x:c r="M4" s="90" t="n">
        <x:f>RANK(L4,$L$4:$L$8,0)</x:f>
        <x:v>1</x:v>
      </x:c>
    </x:row>
    <x:row r="5">
      <x:c r="A5" s="78" t="str">
        <x:f>'Market Inputs'!A5</x:f>
        <x:v>Tijuana</x:v>
      </x:c>
      <x:c r="B5" s="82" t="n">
        <x:f>'Market Inputs'!C5</x:f>
        <x:v>2.157853</x:v>
      </x:c>
      <x:c r="C5" s="84" t="n">
        <x:f>'Market Inputs'!D5</x:f>
        <x:v>0.039</x:v>
      </x:c>
      <x:c r="D5" s="86" t="n">
        <x:f>'Market Inputs'!E5</x:f>
        <x:v>92</x:v>
      </x:c>
      <x:c r="E5" s="86" t="n">
        <x:f>'Market Inputs'!F5</x:f>
        <x:v>85</x:v>
      </x:c>
      <x:c r="F5" s="86" t="n">
        <x:f>'Market Inputs'!G5</x:f>
        <x:v>90</x:v>
      </x:c>
      <x:c r="G5" s="87" t="n">
        <x:f>IF(MAX($B$4:$B$8)=MIN($B$4:$B$8),50,100*(B5-MIN($B$4:$B$8))/(MAX($B$4:$B$8)-MIN($B$4:$B$8)))</x:f>
        <x:v>27.7324370010402</x:v>
      </x:c>
      <x:c r="H5" s="87" t="n">
        <x:f>IF(MAX($C$4:$C$8)=MIN($C$4:$C$8),50,100*(C5-MIN($C$4:$C$8))/(MAX($C$4:$C$8)-MIN($C$4:$C$8)))</x:f>
        <x:v>12.499999999999996</x:v>
      </x:c>
      <x:c r="I5" s="87" t="n">
        <x:f>D5</x:f>
        <x:v>92</x:v>
      </x:c>
      <x:c r="J5" s="87" t="n">
        <x:f>E5</x:f>
        <x:v>85</x:v>
      </x:c>
      <x:c r="K5" s="87" t="n">
        <x:f>F5</x:f>
        <x:v>90</x:v>
      </x:c>
      <x:c r="L5" s="87" t="n">
        <x:f>G5*'Market Inputs'!$B$13+H5*'Market Inputs'!$B$14+I5*'Market Inputs'!$B$15+J5*'Market Inputs'!$B$16+K5*'Market Inputs'!$B$17</x:f>
        <x:v>52.35635295036407</x:v>
      </x:c>
      <x:c r="M5" s="90" t="n">
        <x:f>RANK(L5,$L$4:$L$8,0)</x:f>
        <x:v>2</x:v>
      </x:c>
    </x:row>
    <x:row r="6">
      <x:c r="A6" s="78" t="str">
        <x:f>'Market Inputs'!A6</x:f>
        <x:v>Saltillo</x:v>
      </x:c>
      <x:c r="B6" s="82" t="n">
        <x:f>'Market Inputs'!C6</x:f>
        <x:v>1.031779</x:v>
      </x:c>
      <x:c r="C6" s="84" t="n">
        <x:f>'Market Inputs'!D6</x:f>
        <x:v>0.037</x:v>
      </x:c>
      <x:c r="D6" s="86" t="n">
        <x:f>'Market Inputs'!E6</x:f>
        <x:v>88</x:v>
      </x:c>
      <x:c r="E6" s="86" t="n">
        <x:f>'Market Inputs'!F6</x:f>
        <x:v>90</x:v>
      </x:c>
      <x:c r="F6" s="86" t="n">
        <x:f>'Market Inputs'!G6</x:f>
        <x:v>82</x:v>
      </x:c>
      <x:c r="G6" s="87" t="n">
        <x:f>IF(MAX($B$4:$B$8)=MIN($B$4:$B$8),50,100*(B6-MIN($B$4:$B$8))/(MAX($B$4:$B$8)-MIN($B$4:$B$8)))</x:f>
        <x:v>2.1683964772070476</x:v>
      </x:c>
      <x:c r="H6" s="87" t="n">
        <x:f>IF(MAX($C$4:$C$8)=MIN($C$4:$C$8),50,100*(C6-MIN($C$4:$C$8))/(MAX($C$4:$C$8)-MIN($C$4:$C$8)))</x:f>
        <x:v>8.333333333333327</x:v>
      </x:c>
      <x:c r="I6" s="87" t="n">
        <x:f>D6</x:f>
        <x:v>88</x:v>
      </x:c>
      <x:c r="J6" s="87" t="n">
        <x:f>E6</x:f>
        <x:v>90</x:v>
      </x:c>
      <x:c r="K6" s="87" t="n">
        <x:f>F6</x:f>
        <x:v>82</x:v>
      </x:c>
      <x:c r="L6" s="87" t="n">
        <x:f>G6*'Market Inputs'!$B$13+H6*'Market Inputs'!$B$14+I6*'Market Inputs'!$B$15+J6*'Market Inputs'!$B$16+K6*'Market Inputs'!$B$17</x:f>
        <x:v>41.72560543368914</x:v>
      </x:c>
      <x:c r="M6" s="90" t="n">
        <x:f>RANK(L6,$L$4:$L$8,0)</x:f>
        <x:v>3</x:v>
      </x:c>
    </x:row>
    <x:row r="7">
      <x:c r="A7" s="78" t="str">
        <x:f>'Market Inputs'!A7</x:f>
        <x:v>Chihuahua</x:v>
      </x:c>
      <x:c r="B7" s="82" t="n">
        <x:f>'Market Inputs'!C7</x:f>
        <x:v>0.988065</x:v>
      </x:c>
      <x:c r="C7" s="84" t="n">
        <x:f>'Market Inputs'!D7</x:f>
        <x:v>0.038</x:v>
      </x:c>
      <x:c r="D7" s="86" t="n">
        <x:f>'Market Inputs'!E7</x:f>
        <x:v>84</x:v>
      </x:c>
      <x:c r="E7" s="86" t="n">
        <x:f>'Market Inputs'!F7</x:f>
        <x:v>88</x:v>
      </x:c>
      <x:c r="F7" s="86" t="n">
        <x:f>'Market Inputs'!G7</x:f>
        <x:v>78</x:v>
      </x:c>
      <x:c r="G7" s="87" t="n">
        <x:f>IF(MAX($B$4:$B$8)=MIN($B$4:$B$8),50,100*(B7-MIN($B$4:$B$8))/(MAX($B$4:$B$8)-MIN($B$4:$B$8)))</x:f>
        <x:v>1.1760047982775603</x:v>
      </x:c>
      <x:c r="H7" s="87" t="n">
        <x:f>IF(MAX($C$4:$C$8)=MIN($C$4:$C$8),50,100*(C7-MIN($C$4:$C$8))/(MAX($C$4:$C$8)-MIN($C$4:$C$8)))</x:f>
        <x:v>10.416666666666663</x:v>
      </x:c>
      <x:c r="I7" s="87" t="n">
        <x:f>D7</x:f>
        <x:v>84</x:v>
      </x:c>
      <x:c r="J7" s="87" t="n">
        <x:f>E7</x:f>
        <x:v>88</x:v>
      </x:c>
      <x:c r="K7" s="87" t="n">
        <x:f>F7</x:f>
        <x:v>78</x:v>
      </x:c>
      <x:c r="L7" s="87" t="n">
        <x:f>G7*'Market Inputs'!$B$13+H7*'Market Inputs'!$B$14+I7*'Market Inputs'!$B$15+J7*'Market Inputs'!$B$16+K7*'Market Inputs'!$B$17</x:f>
        <x:v>40.29493501273048</x:v>
      </x:c>
      <x:c r="M7" s="90" t="n">
        <x:f>RANK(L7,$L$4:$L$8,0)</x:f>
        <x:v>4</x:v>
      </x:c>
    </x:row>
    <x:row r="8">
      <x:c r="A8" s="78" t="str">
        <x:f>'Market Inputs'!A8</x:f>
        <x:v>Hermosillo</x:v>
      </x:c>
      <x:c r="B8" s="82" t="n">
        <x:f>'Market Inputs'!C8</x:f>
        <x:v>0.936263</x:v>
      </x:c>
      <x:c r="C8" s="84" t="n">
        <x:f>'Market Inputs'!D8</x:f>
        <x:v>0.033</x:v>
      </x:c>
      <x:c r="D8" s="86" t="n">
        <x:f>'Market Inputs'!E8</x:f>
        <x:v>86</x:v>
      </x:c>
      <x:c r="E8" s="86" t="n">
        <x:f>'Market Inputs'!F8</x:f>
        <x:v>90</x:v>
      </x:c>
      <x:c r="F8" s="86" t="n">
        <x:f>'Market Inputs'!G8</x:f>
        <x:v>80</x:v>
      </x:c>
      <x:c r="G8" s="87" t="n">
        <x:f>IF(MAX($B$4:$B$8)=MIN($B$4:$B$8),50,100*(B8-MIN($B$4:$B$8))/(MAX($B$4:$B$8)-MIN($B$4:$B$8)))</x:f>
        <x:v>0</x:v>
      </x:c>
      <x:c r="H8" s="87" t="n">
        <x:f>IF(MAX($C$4:$C$8)=MIN($C$4:$C$8),50,100*(C8-MIN($C$4:$C$8))/(MAX($C$4:$C$8)-MIN($C$4:$C$8)))</x:f>
        <x:v>0</x:v>
      </x:c>
      <x:c r="I8" s="87" t="n">
        <x:f>D8</x:f>
        <x:v>86</x:v>
      </x:c>
      <x:c r="J8" s="87" t="n">
        <x:f>E8</x:f>
        <x:v>90</x:v>
      </x:c>
      <x:c r="K8" s="87" t="n">
        <x:f>F8</x:f>
        <x:v>80</x:v>
      </x:c>
      <x:c r="L8" s="87" t="n">
        <x:f>G8*'Market Inputs'!$B$13+H8*'Market Inputs'!$B$14+I8*'Market Inputs'!$B$15+J8*'Market Inputs'!$B$16+K8*'Market Inputs'!$B$17</x:f>
        <x:v>38.7</x:v>
      </x:c>
      <x:c r="M8" s="90" t="n">
        <x:f>RANK(L8,$L$4:$L$8,0)</x:f>
        <x:v>5</x:v>
      </x:c>
    </x:row>
    <x:row r="11" ht="21" customHeight="1">
      <x:c r="A11" s="13" t="str">
        <x:v>Interpretation</x:v>
      </x:c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</x:row>
    <x:row r="12">
      <x:c r="A12" s="94" t="str">
        <x:v>The score prioritizes Monterrey for scale and economic density, then Tijuana for cross-border and headroom potential. Saltillo is attractive as a lower-risk adjacency to the Monterrey cluster. Chihuahua and Hermosillo are staged behind the first three markets. The score is a decision framework; store-level site quality can override city averages.</x:v>
      </x:c>
      <x:c r="B12" s="94"/>
      <x:c r="C12" s="94"/>
      <x:c r="D12" s="94"/>
      <x:c r="E12" s="94"/>
      <x:c r="F12" s="94"/>
      <x:c r="G12" s="94"/>
      <x:c r="H12" s="94"/>
      <x:c r="I12" s="94"/>
      <x:c r="J12" s="94"/>
      <x:c r="K12" s="94"/>
      <x:c r="L12" s="94"/>
      <x:c r="M12" s="94"/>
    </x:row>
    <x:row r="13">
      <x:c r="A13" s="94"/>
      <x:c r="B13" s="94"/>
      <x:c r="C13" s="94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</x:row>
    <x:row r="14">
      <x:c r="A14" s="94"/>
      <x:c r="B14" s="94"/>
      <x:c r="C14" s="94"/>
      <x:c r="D14" s="94"/>
      <x:c r="E14" s="94"/>
      <x:c r="F14" s="94"/>
      <x:c r="G14" s="94"/>
      <x:c r="H14" s="94"/>
      <x:c r="I14" s="94"/>
      <x:c r="J14" s="94"/>
      <x:c r="K14" s="94"/>
      <x:c r="L14" s="94"/>
      <x:c r="M14" s="94"/>
    </x:row>
    <x:row r="15">
      <x:c r="A15" s="94"/>
      <x:c r="B15" s="94"/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</x:row>
    <x:row r="16">
      <x:c r="A16" s="94"/>
      <x:c r="B16" s="94"/>
      <x:c r="C16" s="94"/>
      <x:c r="D16" s="94"/>
      <x:c r="E16" s="94"/>
      <x:c r="F16" s="94"/>
      <x:c r="G16" s="94"/>
      <x:c r="H16" s="94"/>
      <x:c r="I16" s="94"/>
      <x:c r="J16" s="94"/>
      <x:c r="K16" s="94"/>
      <x:c r="L16" s="94"/>
      <x:c r="M16" s="94"/>
    </x:row>
  </x:sheetData>
  <x:mergeCells>
    <x:mergeCell ref="A1:M1"/>
    <x:mergeCell ref="A11:M11"/>
    <x:mergeCell ref="A12:M16"/>
  </x:mergeCells>
  <x:conditionalFormatting sqref="L4:L8">
    <x:cfRule type="colorScale" priority="1">
      <x:colorScale>
        <x:cfvo type="min"/>
        <x:cfvo type="percentile" val="50"/>
        <x:cfvo type="max"/>
        <x:color rgb="FFF8CBAD"/>
        <x:color rgb="FFFFE699"/>
        <x:color rgb="FFC6E0B4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44" hidden="0" customWidth="1"/>
  </x:cols>
  <x:sheetData>
    <x:row r="1" ht="30" customHeight="1">
      <x:c r="A1" s="5" t="str">
        <x:v>Staged 30-store rollout</x:v>
      </x:c>
      <x:c r="B1" s="5"/>
      <x:c r="C1" s="5"/>
      <x:c r="D1" s="5"/>
      <x:c r="E1" s="5"/>
      <x:c r="F1" s="5"/>
      <x:c r="G1" s="5"/>
      <x:c r="H1" s="5"/>
    </x:row>
    <x:row r="3">
      <x:c r="A3" s="46" t="str">
        <x:v>City</x:v>
      </x:c>
      <x:c r="B3" s="46" t="str">
        <x:v>Year 1 openings</x:v>
      </x:c>
      <x:c r="C3" s="46" t="str">
        <x:v>Year 2 openings</x:v>
      </x:c>
      <x:c r="D3" s="46" t="str">
        <x:v>Year 3 openings</x:v>
      </x:c>
      <x:c r="E3" s="46" t="str">
        <x:v>Total openings</x:v>
      </x:c>
      <x:c r="F3" s="46" t="str">
        <x:v>Attractiveness rank</x:v>
      </x:c>
      <x:c r="G3" s="46" t="str">
        <x:v>Stage gate</x:v>
      </x:c>
      <x:c r="H3" s="46" t="str">
        <x:v>Rationale</x:v>
      </x:c>
    </x:row>
    <x:row r="4">
      <x:c r="A4" t="str">
        <x:v>Monterrey</x:v>
      </x:c>
      <x:c r="B4" s="104" t="n">
        <x:v>4</x:v>
      </x:c>
      <x:c r="C4" s="104" t="n">
        <x:v>3</x:v>
      </x:c>
      <x:c r="D4" s="104" t="n">
        <x:v>3</x:v>
      </x:c>
      <x:c r="E4" s="90" t="n">
        <x:f>SUM(B4:D4)</x:f>
        <x:v>10</x:v>
      </x:c>
      <x:c r="F4" s="105" t="n">
        <x:f>'City Scorecard'!M4</x:f>
        <x:v>1</x:v>
      </x:c>
      <x:c r="G4" s="50" t="str">
        <x:v>Anchor cluster</x:v>
      </x:c>
      <x:c r="H4" s="50" t="str">
        <x:v>Largest scale; test high-income and commuter sites</x:v>
      </x:c>
    </x:row>
    <x:row r="5">
      <x:c r="A5" t="str">
        <x:v>Tijuana</x:v>
      </x:c>
      <x:c r="B5" s="104" t="n">
        <x:v>3</x:v>
      </x:c>
      <x:c r="C5" s="104" t="n">
        <x:v>3</x:v>
      </x:c>
      <x:c r="D5" s="104" t="n">
        <x:v>2</x:v>
      </x:c>
      <x:c r="E5" s="90" t="n">
        <x:f>SUM(B5:D5)</x:f>
        <x:v>8</x:v>
      </x:c>
      <x:c r="F5" s="105" t="n">
        <x:f>'City Scorecard'!M5</x:f>
        <x:v>2</x:v>
      </x:c>
      <x:c r="G5" s="50" t="str">
        <x:v>Second cluster</x:v>
      </x:c>
      <x:c r="H5" s="50" t="str">
        <x:v>Cross-border flows, tourism and premium demand</x:v>
      </x:c>
    </x:row>
    <x:row r="6">
      <x:c r="A6" t="str">
        <x:v>Saltillo</x:v>
      </x:c>
      <x:c r="B6" s="104" t="n">
        <x:v>1</x:v>
      </x:c>
      <x:c r="C6" s="104" t="n">
        <x:v>2</x:v>
      </x:c>
      <x:c r="D6" s="104" t="n">
        <x:v>2</x:v>
      </x:c>
      <x:c r="E6" s="90" t="n">
        <x:f>SUM(B6:D6)</x:f>
        <x:v>5</x:v>
      </x:c>
      <x:c r="F6" s="105" t="n">
        <x:f>'City Scorecard'!M6</x:f>
        <x:v>3</x:v>
      </x:c>
      <x:c r="G6" s="50" t="str">
        <x:v>Adjacency</x:v>
      </x:c>
      <x:c r="H6" s="50" t="str">
        <x:v>Leverage Monterrey supply chain and management density</x:v>
      </x:c>
    </x:row>
    <x:row r="7">
      <x:c r="A7" t="str">
        <x:v>Chihuahua</x:v>
      </x:c>
      <x:c r="B7" s="104" t="n">
        <x:v>1</x:v>
      </x:c>
      <x:c r="C7" s="104" t="n">
        <x:v>1</x:v>
      </x:c>
      <x:c r="D7" s="104" t="n">
        <x:v>2</x:v>
      </x:c>
      <x:c r="E7" s="90" t="n">
        <x:f>SUM(B7:D7)</x:f>
        <x:v>4</x:v>
      </x:c>
      <x:c r="F7" s="105" t="n">
        <x:f>'City Scorecard'!M7</x:f>
        <x:v>4</x:v>
      </x:c>
      <x:c r="G7" s="50" t="str">
        <x:v>Gate after Y1</x:v>
      </x:c>
      <x:c r="H7" s="50" t="str">
        <x:v>Expand after unit economics validate regional fit</x:v>
      </x:c>
    </x:row>
    <x:row r="8">
      <x:c r="A8" t="str">
        <x:v>Hermosillo</x:v>
      </x:c>
      <x:c r="B8" s="104" t="n">
        <x:v>1</x:v>
      </x:c>
      <x:c r="C8" s="104" t="n">
        <x:v>1</x:v>
      </x:c>
      <x:c r="D8" s="104" t="n">
        <x:v>1</x:v>
      </x:c>
      <x:c r="E8" s="90" t="n">
        <x:f>SUM(B8:D8)</x:f>
        <x:v>3</x:v>
      </x:c>
      <x:c r="F8" s="105" t="n">
        <x:f>'City Scorecard'!M8</x:f>
        <x:v>5</x:v>
      </x:c>
      <x:c r="G8" s="50" t="str">
        <x:v>Gate after Y1</x:v>
      </x:c>
      <x:c r="H8" s="50" t="str">
        <x:v>Smaller pilot; prioritize best mall / drive-through sites</x:v>
      </x:c>
    </x:row>
    <x:row r="9">
      <x:c r="A9" s="99" t="str">
        <x:v>Total</x:v>
      </x:c>
      <x:c r="B9" s="106" t="n">
        <x:f>SUM(B4:B8)</x:f>
        <x:v>10</x:v>
      </x:c>
      <x:c r="C9" s="106" t="n">
        <x:f>SUM(C4:C8)</x:f>
        <x:v>10</x:v>
      </x:c>
      <x:c r="D9" s="106" t="n">
        <x:f>SUM(D4:D8)</x:f>
        <x:v>10</x:v>
      </x:c>
      <x:c r="E9" s="107" t="n">
        <x:f>SUM(E4:E8)</x:f>
        <x:v>30</x:v>
      </x:c>
      <x:c r="F9" s="106"/>
      <x:c r="G9" s="99" t="str"/>
      <x:c r="H9" s="99" t="str"/>
    </x:row>
    <x:row r="12" ht="21" customHeight="1">
      <x:c r="A12" s="13" t="str">
        <x:v>Recommended stage gates</x:v>
      </x:c>
      <x:c r="B12" s="13"/>
      <x:c r="C12" s="13"/>
      <x:c r="D12" s="13"/>
      <x:c r="E12" s="13"/>
      <x:c r="F12" s="13"/>
      <x:c r="G12" s="13"/>
      <x:c r="H12" s="13"/>
    </x:row>
    <x:row r="13">
      <x:c r="A13" s="62" t="str">
        <x:v>Gate</x:v>
      </x:c>
      <x:c r="B13" s="62" t="str">
        <x:v>Threshold</x:v>
      </x:c>
      <x:c r="C13" s="62" t="str">
        <x:v>Why it matters</x:v>
      </x:c>
      <x:c r="D13" s="18" t="str"/>
      <x:c r="E13" s="18" t="str"/>
      <x:c r="F13" s="18" t="str"/>
      <x:c r="G13" s="18" t="str"/>
      <x:c r="H13" s="18" t="str"/>
    </x:row>
    <x:row r="14">
      <x:c r="A14" s="18" t="str">
        <x:v>Store sales</x:v>
      </x:c>
      <x:c r="B14" s="112" t="str">
        <x:v>&gt;= 90% of modeled ramp after 12 months</x:v>
      </x:c>
      <x:c r="C14" s="18" t="str">
        <x:v>Demand validation</x:v>
      </x:c>
      <x:c r="D14" s="18" t="str"/>
      <x:c r="E14" s="18" t="str"/>
      <x:c r="F14" s="18" t="str"/>
      <x:c r="G14" s="18" t="str"/>
      <x:c r="H14" s="18" t="str"/>
    </x:row>
    <x:row r="15">
      <x:c r="A15" s="18" t="str">
        <x:v>Store EBITDA margin</x:v>
      </x:c>
      <x:c r="B15" s="112" t="str">
        <x:v>&gt;= 18% after 12 months</x:v>
      </x:c>
      <x:c r="C15" s="18" t="str">
        <x:v>Protects return on capital</x:v>
      </x:c>
      <x:c r="D15" s="18" t="str"/>
      <x:c r="E15" s="18" t="str"/>
      <x:c r="F15" s="18" t="str"/>
      <x:c r="G15" s="18" t="str"/>
      <x:c r="H15" s="18" t="str"/>
    </x:row>
    <x:row r="16">
      <x:c r="A16" s="18" t="str">
        <x:v>Cannibalization</x:v>
      </x:c>
      <x:c r="B16" s="112" t="str">
        <x:v>&lt;= 8% within cluster</x:v>
      </x:c>
      <x:c r="C16" s="18" t="str">
        <x:v>Avoids shifting existing sales</x:v>
      </x:c>
      <x:c r="D16" s="18" t="str"/>
      <x:c r="E16" s="18" t="str"/>
      <x:c r="F16" s="18" t="str"/>
      <x:c r="G16" s="18" t="str"/>
      <x:c r="H16" s="18" t="str"/>
    </x:row>
    <x:row r="17">
      <x:c r="A17" s="18" t="str">
        <x:v>Customer metrics</x:v>
      </x:c>
      <x:c r="B17" s="112" t="str">
        <x:v>Repeat rate and digital mix at/above network benchmark</x:v>
      </x:c>
      <x:c r="C17" s="18" t="str">
        <x:v>Tests brand adoption</x:v>
      </x:c>
      <x:c r="D17" s="18" t="str"/>
      <x:c r="E17" s="18" t="str"/>
      <x:c r="F17" s="18" t="str"/>
      <x:c r="G17" s="18" t="str"/>
      <x:c r="H17" s="18" t="str"/>
    </x:row>
    <x:row r="18">
      <x:c r="A18" s="18" t="str">
        <x:v>Site pipeline</x:v>
      </x:c>
      <x:c r="B18" s="112" t="str">
        <x:v>Two validated sites per planned opening</x:v>
      </x:c>
      <x:c r="C18" s="18" t="str">
        <x:v>Prevents low-quality expansion</x:v>
      </x:c>
      <x:c r="D18" s="18" t="str"/>
      <x:c r="E18" s="18" t="str"/>
      <x:c r="F18" s="18" t="str"/>
      <x:c r="G18" s="18" t="str"/>
      <x:c r="H18" s="18" t="str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6" hidden="0" customWidth="1"/>
    <x:col min="4" max="4" width="40" hidden="0" customWidth="1"/>
    <x:col min="5" max="5" width="16" hidden="0" customWidth="1"/>
    <x:col min="6" max="6" width="16" hidden="0" customWidth="1"/>
  </x:cols>
  <x:sheetData>
    <x:row r="1" ht="30" customHeight="1">
      <x:c r="A1" s="5" t="str">
        <x:v>Illustrative mature-store unit economics</x:v>
      </x:c>
      <x:c r="B1" s="5"/>
      <x:c r="C1" s="5"/>
      <x:c r="D1" s="5"/>
      <x:c r="E1" s="5"/>
      <x:c r="F1" s="5"/>
    </x:row>
    <x:row r="3" ht="21" customHeight="1">
      <x:c r="A3" s="13" t="str">
        <x:v>Editable assumptions</x:v>
      </x:c>
      <x:c r="B3" s="13"/>
      <x:c r="C3" s="13"/>
      <x:c r="D3" s="13"/>
    </x:row>
    <x:row r="4">
      <x:c r="A4" s="62" t="str">
        <x:v>Assumption</x:v>
      </x:c>
      <x:c r="B4" s="62" t="str">
        <x:v>Value</x:v>
      </x:c>
      <x:c r="C4" s="62" t="str">
        <x:v>Unit</x:v>
      </x:c>
      <x:c r="D4" s="62" t="str">
        <x:v>Comment</x:v>
      </x:c>
    </x:row>
    <x:row r="5">
      <x:c r="A5" t="str">
        <x:v>Average ticket</x:v>
      </x:c>
      <x:c r="B5" s="114" t="n">
        <x:v>135</x:v>
      </x:c>
      <x:c r="C5" t="str">
        <x:v>MXN</x:v>
      </x:c>
      <x:c r="D5" t="str">
        <x:v>Illustrative blended ticket</x:v>
      </x:c>
    </x:row>
    <x:row r="6">
      <x:c r="A6" t="str">
        <x:v>Transactions per day</x:v>
      </x:c>
      <x:c r="B6" s="104" t="n">
        <x:v>420</x:v>
      </x:c>
      <x:c r="C6" t="str">
        <x:v>transactions</x:v>
      </x:c>
      <x:c r="D6" t="str">
        <x:v>Illustrative mature-store volume</x:v>
      </x:c>
    </x:row>
    <x:row r="7">
      <x:c r="A7" t="str">
        <x:v>Operating days</x:v>
      </x:c>
      <x:c r="B7" s="104" t="n">
        <x:v>360</x:v>
      </x:c>
      <x:c r="C7" t="str">
        <x:v>days</x:v>
      </x:c>
      <x:c r="D7" t="str">
        <x:v>Allows downtime / seasonality</x:v>
      </x:c>
    </x:row>
    <x:row r="8">
      <x:c r="A8" t="str">
        <x:v>Mature revenue</x:v>
      </x:c>
      <x:c r="B8" s="116" t="n">
        <x:f>B5*B6*B7/1000000</x:f>
        <x:v>20.412</x:v>
      </x:c>
      <x:c r="C8" t="str">
        <x:v>MXN mm</x:v>
      </x:c>
      <x:c r="D8" t="str">
        <x:v>Calculated</x:v>
      </x:c>
    </x:row>
    <x:row r="9">
      <x:c r="A9" t="str">
        <x:v>Store EBITDA margin</x:v>
      </x:c>
      <x:c r="B9" s="70" t="n">
        <x:v>0.22</x:v>
      </x:c>
      <x:c r="C9" t="str">
        <x:v>%</x:v>
      </x:c>
      <x:c r="D9" t="str">
        <x:v>Illustrative store-level margin</x:v>
      </x:c>
    </x:row>
    <x:row r="10">
      <x:c r="A10" t="str">
        <x:v>Opening capex per store</x:v>
      </x:c>
      <x:c r="B10" s="118" t="n">
        <x:v>10</x:v>
      </x:c>
      <x:c r="C10" t="str">
        <x:v>MXN mm</x:v>
      </x:c>
      <x:c r="D10" t="str">
        <x:v>Illustrative all-in opening spend</x:v>
      </x:c>
    </x:row>
    <x:row r="11">
      <x:c r="A11" t="str">
        <x:v>Maintenance capex / revenue</x:v>
      </x:c>
      <x:c r="B11" s="70" t="n">
        <x:v>0.02</x:v>
      </x:c>
      <x:c r="C11" t="str">
        <x:v>%</x:v>
      </x:c>
      <x:c r="D11" t="str">
        <x:v>Illustrative</x:v>
      </x:c>
    </x:row>
    <x:row r="12">
      <x:c r="A12" t="str">
        <x:v>Cash tax rate</x:v>
      </x:c>
      <x:c r="B12" s="70" t="n">
        <x:v>0.3</x:v>
      </x:c>
      <x:c r="C12" t="str">
        <x:v>%</x:v>
      </x:c>
      <x:c r="D12" t="str">
        <x:v>Simplified</x:v>
      </x:c>
    </x:row>
    <x:row r="13">
      <x:c r="A13" t="str">
        <x:v>Cannibalization</x:v>
      </x:c>
      <x:c r="B13" s="70" t="n">
        <x:v>0.04</x:v>
      </x:c>
      <x:c r="C13" t="str">
        <x:v>%</x:v>
      </x:c>
      <x:c r="D13" t="str">
        <x:v>Average modeled cluster effect</x:v>
      </x:c>
    </x:row>
    <x:row r="14">
      <x:c r="A14" t="str">
        <x:v>Same-store growth after maturity</x:v>
      </x:c>
      <x:c r="B14" s="70" t="n">
        <x:v>0.04</x:v>
      </x:c>
      <x:c r="C14" t="str">
        <x:v>%</x:v>
      </x:c>
      <x:c r="D14" t="str">
        <x:v>Nominal assumption</x:v>
      </x:c>
    </x:row>
    <x:row r="17" ht="21" customHeight="1">
      <x:c r="A17" s="13" t="str">
        <x:v>Ramp profile</x:v>
      </x:c>
      <x:c r="B17" s="13"/>
      <x:c r="C17" s="13"/>
      <x:c r="D17" s="13"/>
      <x:c r="E17" s="13"/>
      <x:c r="F17" s="13"/>
    </x:row>
    <x:row r="18">
      <x:c r="A18" s="62" t="str">
        <x:v>Store age</x:v>
      </x:c>
      <x:c r="B18" s="62" t="str">
        <x:v>Year 1</x:v>
      </x:c>
      <x:c r="C18" s="62" t="str">
        <x:v>Year 2</x:v>
      </x:c>
      <x:c r="D18" s="62" t="str">
        <x:v>Year 3</x:v>
      </x:c>
      <x:c r="E18" s="62" t="str">
        <x:v>Year 4</x:v>
      </x:c>
      <x:c r="F18" s="62" t="str">
        <x:v>Year 5</x:v>
      </x:c>
    </x:row>
    <x:row r="19">
      <x:c r="A19" t="str">
        <x:v>Revenue ramp</x:v>
      </x:c>
      <x:c r="B19" s="70" t="n">
        <x:v>0.65</x:v>
      </x:c>
      <x:c r="C19" s="70" t="n">
        <x:v>0.85</x:v>
      </x:c>
      <x:c r="D19" s="70" t="n">
        <x:v>1</x:v>
      </x:c>
      <x:c r="E19" s="70" t="n">
        <x:v>1.04</x:v>
      </x:c>
      <x:c r="F19" s="70" t="n">
        <x:v>1.0816</x:v>
      </x:c>
    </x:row>
    <x:row r="20">
      <x:c r="A20" t="str">
        <x:v>Comment</x:v>
      </x:c>
      <x:c r="B20" t="str">
        <x:v>Opening year</x:v>
      </x:c>
      <x:c r="C20" t="str">
        <x:v>Scale-up</x:v>
      </x:c>
      <x:c r="D20" t="str">
        <x:v>Mature</x:v>
      </x:c>
      <x:c r="E20" t="str">
        <x:v>+4% SSS</x:v>
      </x:c>
      <x:c r="F20" t="str">
        <x:v>+4% SSS</x:v>
      </x:c>
    </x:row>
    <x:row r="23" ht="21" customHeight="1">
      <x:c r="A23" s="13" t="str">
        <x:v>Mature store snapshot</x:v>
      </x:c>
      <x:c r="B23" s="13"/>
      <x:c r="C23" s="13"/>
      <x:c r="D23" s="13"/>
    </x:row>
    <x:row r="24">
      <x:c r="A24" s="62" t="str">
        <x:v>Metric</x:v>
      </x:c>
      <x:c r="B24" s="62" t="str">
        <x:v>Output</x:v>
      </x:c>
    </x:row>
    <x:row r="25">
      <x:c r="A25" t="str">
        <x:v>Revenue after cannibalization</x:v>
      </x:c>
      <x:c r="B25" s="116" t="n">
        <x:f>B8*(1-B13)</x:f>
        <x:v>19.595519999999997</x:v>
      </x:c>
    </x:row>
    <x:row r="26">
      <x:c r="A26" t="str">
        <x:v>Store EBITDA</x:v>
      </x:c>
      <x:c r="B26" s="116" t="n">
        <x:f>B25*B9</x:f>
        <x:v>4.3110143999999995</x:v>
      </x:c>
    </x:row>
    <x:row r="27">
      <x:c r="A27" t="str">
        <x:v>Maintenance capex</x:v>
      </x:c>
      <x:c r="B27" s="116" t="n">
        <x:f>B25*B11</x:f>
        <x:v>0.39191039999999994</x:v>
      </x:c>
    </x:row>
    <x:row r="28">
      <x:c r="A28" t="str">
        <x:v>Cash tax proxy</x:v>
      </x:c>
      <x:c r="B28" s="116" t="n">
        <x:f>B26*B12</x:f>
        <x:v>1.2933043199999998</x:v>
      </x:c>
    </x:row>
    <x:row r="29">
      <x:c r="A29" t="str">
        <x:v>Mature cash contribution</x:v>
      </x:c>
      <x:c r="B29" s="116" t="n">
        <x:f>B26-B27-B28</x:f>
        <x:v>2.6257996799999996</x:v>
      </x:c>
    </x:row>
    <x:row r="30">
      <x:c r="A30" t="str">
        <x:v>Simple capex payback</x:v>
      </x:c>
      <x:c r="B30" s="120" t="n">
        <x:f>B10/B29</x:f>
        <x:v>3.80836362962768</x:v>
      </x:c>
    </x:row>
  </x:sheetData>
  <x:mergeCells>
    <x:mergeCell ref="A1:F1"/>
    <x:mergeCell ref="A3:D3"/>
    <x:mergeCell ref="A17:F17"/>
    <x:mergeCell ref="A23:D2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</x:cols>
  <x:sheetData>
    <x:row r="1" ht="30" customHeight="1">
      <x:c r="A1" s="5" t="str">
        <x:v>Five-year rollout economics</x:v>
      </x:c>
      <x:c r="B1" s="5"/>
      <x:c r="C1" s="5"/>
      <x:c r="D1" s="5"/>
      <x:c r="E1" s="5"/>
      <x:c r="F1" s="5"/>
      <x:c r="G1" s="5"/>
    </x:row>
    <x:row r="3">
      <x:c r="A3" s="46" t="str">
        <x:v>Metric</x:v>
      </x:c>
      <x:c r="B3" s="46" t="str">
        <x:v>Year 1</x:v>
      </x:c>
      <x:c r="C3" s="46" t="str">
        <x:v>Year 2</x:v>
      </x:c>
      <x:c r="D3" s="46" t="str">
        <x:v>Year 3</x:v>
      </x:c>
      <x:c r="E3" s="46" t="str">
        <x:v>Year 4</x:v>
      </x:c>
      <x:c r="F3" s="46" t="str">
        <x:v>Year 5</x:v>
      </x:c>
      <x:c r="G3" s="46" t="str">
        <x:v>Unit</x:v>
      </x:c>
    </x:row>
    <x:row r="4">
      <x:c r="A4" t="str">
        <x:v>New stores</x:v>
      </x:c>
      <x:c r="B4" s="105" t="n">
        <x:f>'Rollout Plan'!B9</x:f>
        <x:v>10</x:v>
      </x:c>
      <x:c r="C4" s="105" t="n">
        <x:f>'Rollout Plan'!C9</x:f>
        <x:v>10</x:v>
      </x:c>
      <x:c r="D4" s="105" t="n">
        <x:f>'Rollout Plan'!D9</x:f>
        <x:v>10</x:v>
      </x:c>
      <x:c r="E4" s="105" t="n">
        <x:f>0</x:f>
        <x:v>0</x:v>
      </x:c>
      <x:c r="F4" s="105" t="n">
        <x:f>0</x:f>
        <x:v>0</x:v>
      </x:c>
      <x:c r="G4" t="str">
        <x:v>stores</x:v>
      </x:c>
    </x:row>
    <x:row r="5">
      <x:c r="A5" t="str">
        <x:v>Cumulative stores</x:v>
      </x:c>
      <x:c r="B5" s="105" t="n">
        <x:f>B4</x:f>
        <x:v>10</x:v>
      </x:c>
      <x:c r="C5" s="105" t="n">
        <x:f>B5+C4</x:f>
        <x:v>20</x:v>
      </x:c>
      <x:c r="D5" s="105" t="n">
        <x:f>C5+D4</x:f>
        <x:v>30</x:v>
      </x:c>
      <x:c r="E5" s="105" t="n">
        <x:f>D5+E4</x:f>
        <x:v>30</x:v>
      </x:c>
      <x:c r="F5" s="105" t="n">
        <x:f>E5+F4</x:f>
        <x:v>30</x:v>
      </x:c>
      <x:c r="G5" t="str">
        <x:v>stores</x:v>
      </x:c>
    </x:row>
    <x:row r="6">
      <x:c r="A6" t="str">
        <x:v>Revenue - Year 1 cohort</x:v>
      </x:c>
      <x:c r="B6" s="122" t="n">
        <x:f>B4*'Unit Economics'!$B$8*(1-'Unit Economics'!$B$13)*'Unit Economics'!$B$19</x:f>
        <x:v>127.37088</x:v>
      </x:c>
      <x:c r="C6" s="122" t="n">
        <x:f>B4*'Unit Economics'!$B$8*(1-'Unit Economics'!$B$13)*'Unit Economics'!$C$19</x:f>
        <x:v>166.56192</x:v>
      </x:c>
      <x:c r="D6" s="122" t="n">
        <x:f>B4*'Unit Economics'!$B$8*(1-'Unit Economics'!$B$13)*'Unit Economics'!$D$19</x:f>
        <x:v>195.9552</x:v>
      </x:c>
      <x:c r="E6" s="122" t="n">
        <x:f>B4*'Unit Economics'!$B$8*(1-'Unit Economics'!$B$13)*'Unit Economics'!$E$19</x:f>
        <x:v>203.793408</x:v>
      </x:c>
      <x:c r="F6" s="122" t="n">
        <x:f>B4*'Unit Economics'!$B$8*(1-'Unit Economics'!$B$13)*'Unit Economics'!$F$19</x:f>
        <x:v>211.94514431999997</x:v>
      </x:c>
      <x:c r="G6" t="str">
        <x:v>MXN mm</x:v>
      </x:c>
    </x:row>
    <x:row r="7">
      <x:c r="A7" t="str">
        <x:v>Revenue - Year 2 cohort</x:v>
      </x:c>
      <x:c r="B7" s="122" t="n">
        <x:f>0</x:f>
        <x:v>0</x:v>
      </x:c>
      <x:c r="C7" s="122" t="n">
        <x:f>C4*'Unit Economics'!$B$8*(1-'Unit Economics'!$B$13)*'Unit Economics'!$B$19</x:f>
        <x:v>127.37088</x:v>
      </x:c>
      <x:c r="D7" s="122" t="n">
        <x:f>C4*'Unit Economics'!$B$8*(1-'Unit Economics'!$B$13)*'Unit Economics'!$C$19</x:f>
        <x:v>166.56192</x:v>
      </x:c>
      <x:c r="E7" s="122" t="n">
        <x:f>C4*'Unit Economics'!$B$8*(1-'Unit Economics'!$B$13)*'Unit Economics'!$D$19</x:f>
        <x:v>195.9552</x:v>
      </x:c>
      <x:c r="F7" s="122" t="n">
        <x:f>C4*'Unit Economics'!$B$8*(1-'Unit Economics'!$B$13)*'Unit Economics'!$E$19</x:f>
        <x:v>203.793408</x:v>
      </x:c>
      <x:c r="G7" t="str">
        <x:v>MXN mm</x:v>
      </x:c>
    </x:row>
    <x:row r="8">
      <x:c r="A8" t="str">
        <x:v>Revenue - Year 3 cohort</x:v>
      </x:c>
      <x:c r="B8" s="122" t="n">
        <x:f>0</x:f>
        <x:v>0</x:v>
      </x:c>
      <x:c r="C8" s="122" t="n">
        <x:f>0</x:f>
        <x:v>0</x:v>
      </x:c>
      <x:c r="D8" s="122" t="n">
        <x:f>D4*'Unit Economics'!$B$8*(1-'Unit Economics'!$B$13)*'Unit Economics'!$B$19</x:f>
        <x:v>127.37088</x:v>
      </x:c>
      <x:c r="E8" s="122" t="n">
        <x:f>D4*'Unit Economics'!$B$8*(1-'Unit Economics'!$B$13)*'Unit Economics'!$C$19</x:f>
        <x:v>166.56192</x:v>
      </x:c>
      <x:c r="F8" s="122" t="n">
        <x:f>D4*'Unit Economics'!$B$8*(1-'Unit Economics'!$B$13)*'Unit Economics'!$D$19</x:f>
        <x:v>195.9552</x:v>
      </x:c>
      <x:c r="G8" t="str">
        <x:v>MXN mm</x:v>
      </x:c>
    </x:row>
    <x:row r="9">
      <x:c r="A9" s="99" t="str">
        <x:v>Total revenue</x:v>
      </x:c>
      <x:c r="B9" s="127" t="n">
        <x:f>SUM(B6:B8)</x:f>
        <x:v>127.37088</x:v>
      </x:c>
      <x:c r="C9" s="127" t="n">
        <x:f>SUM(C6:C8)</x:f>
        <x:v>293.9328</x:v>
      </x:c>
      <x:c r="D9" s="127" t="n">
        <x:f>SUM(D6:D8)</x:f>
        <x:v>489.888</x:v>
      </x:c>
      <x:c r="E9" s="127" t="n">
        <x:f>SUM(E6:E8)</x:f>
        <x:v>566.310528</x:v>
      </x:c>
      <x:c r="F9" s="127" t="n">
        <x:f>SUM(F6:F8)</x:f>
        <x:v>611.6937523199999</x:v>
      </x:c>
      <x:c r="G9" s="99" t="str">
        <x:v>MXN mm</x:v>
      </x:c>
    </x:row>
    <x:row r="10">
      <x:c r="A10" t="str">
        <x:v>Store EBITDA</x:v>
      </x:c>
      <x:c r="B10" s="122" t="n">
        <x:f>B9*'Unit Economics'!$B$9</x:f>
        <x:v>28.0215936</x:v>
      </x:c>
      <x:c r="C10" s="122" t="n">
        <x:f>C9*'Unit Economics'!$B$9</x:f>
        <x:v>64.665216</x:v>
      </x:c>
      <x:c r="D10" s="122" t="n">
        <x:f>D9*'Unit Economics'!$B$9</x:f>
        <x:v>107.77535999999999</x:v>
      </x:c>
      <x:c r="E10" s="122" t="n">
        <x:f>E9*'Unit Economics'!$B$9</x:f>
        <x:v>124.58831615999999</x:v>
      </x:c>
      <x:c r="F10" s="122" t="n">
        <x:f>F9*'Unit Economics'!$B$9</x:f>
        <x:v>134.57262551039997</x:v>
      </x:c>
      <x:c r="G10" t="str">
        <x:v>MXN mm</x:v>
      </x:c>
    </x:row>
    <x:row r="11">
      <x:c r="A11" t="str">
        <x:v>EBITDA margin</x:v>
      </x:c>
      <x:c r="B11" s="84" t="n">
        <x:f>B10/B9</x:f>
        <x:v>0.22</x:v>
      </x:c>
      <x:c r="C11" s="84" t="n">
        <x:f>C10/C9</x:f>
        <x:v>0.22</x:v>
      </x:c>
      <x:c r="D11" s="84" t="n">
        <x:f>D10/D9</x:f>
        <x:v>0.22</x:v>
      </x:c>
      <x:c r="E11" s="84" t="n">
        <x:f>E10/E9</x:f>
        <x:v>0.22</x:v>
      </x:c>
      <x:c r="F11" s="84" t="n">
        <x:f>F10/F9</x:f>
        <x:v>0.21999999999999997</x:v>
      </x:c>
      <x:c r="G11" t="str">
        <x:v>%</x:v>
      </x:c>
    </x:row>
    <x:row r="12">
      <x:c r="A12" t="str">
        <x:v>Cash tax proxy</x:v>
      </x:c>
      <x:c r="B12" s="122" t="n">
        <x:f>B10*'Unit Economics'!$B$12</x:f>
        <x:v>8.40647808</x:v>
      </x:c>
      <x:c r="C12" s="122" t="n">
        <x:f>C10*'Unit Economics'!$B$12</x:f>
        <x:v>19.3995648</x:v>
      </x:c>
      <x:c r="D12" s="122" t="n">
        <x:f>D10*'Unit Economics'!$B$12</x:f>
        <x:v>32.33260799999999</x:v>
      </x:c>
      <x:c r="E12" s="122" t="n">
        <x:f>E10*'Unit Economics'!$B$12</x:f>
        <x:v>37.37649484799999</x:v>
      </x:c>
      <x:c r="F12" s="122" t="n">
        <x:f>F10*'Unit Economics'!$B$12</x:f>
        <x:v>40.37178765311999</x:v>
      </x:c>
      <x:c r="G12" t="str">
        <x:v>MXN mm</x:v>
      </x:c>
    </x:row>
    <x:row r="13">
      <x:c r="A13" t="str">
        <x:v>Maintenance capex</x:v>
      </x:c>
      <x:c r="B13" s="122" t="n">
        <x:f>B9*'Unit Economics'!$B$11</x:f>
        <x:v>2.5474176</x:v>
      </x:c>
      <x:c r="C13" s="122" t="n">
        <x:f>C9*'Unit Economics'!$B$11</x:f>
        <x:v>5.878655999999999</x:v>
      </x:c>
      <x:c r="D13" s="122" t="n">
        <x:f>D9*'Unit Economics'!$B$11</x:f>
        <x:v>9.79776</x:v>
      </x:c>
      <x:c r="E13" s="122" t="n">
        <x:f>E9*'Unit Economics'!$B$11</x:f>
        <x:v>11.32621056</x:v>
      </x:c>
      <x:c r="F13" s="122" t="n">
        <x:f>F9*'Unit Economics'!$B$11</x:f>
        <x:v>12.2338750464</x:v>
      </x:c>
      <x:c r="G13" t="str">
        <x:v>MXN mm</x:v>
      </x:c>
    </x:row>
    <x:row r="14">
      <x:c r="A14" t="str">
        <x:v>Opening capex</x:v>
      </x:c>
      <x:c r="B14" s="122" t="n">
        <x:f>B4*'Unit Economics'!$B$10</x:f>
        <x:v>100</x:v>
      </x:c>
      <x:c r="C14" s="122" t="n">
        <x:f>C4*'Unit Economics'!$B$10</x:f>
        <x:v>100</x:v>
      </x:c>
      <x:c r="D14" s="122" t="n">
        <x:f>D4*'Unit Economics'!$B$10</x:f>
        <x:v>100</x:v>
      </x:c>
      <x:c r="E14" s="122" t="n">
        <x:f>E4*'Unit Economics'!$B$10</x:f>
        <x:v>0</x:v>
      </x:c>
      <x:c r="F14" s="122" t="n">
        <x:f>F4*'Unit Economics'!$B$10</x:f>
        <x:v>0</x:v>
      </x:c>
      <x:c r="G14" t="str">
        <x:v>MXN mm</x:v>
      </x:c>
    </x:row>
    <x:row r="15">
      <x:c r="A15" s="99" t="str">
        <x:v>Unlevered cash flow</x:v>
      </x:c>
      <x:c r="B15" s="127" t="n">
        <x:f>B10-B12-B13-B14</x:f>
        <x:v>-82.93230208</x:v>
      </x:c>
      <x:c r="C15" s="127" t="n">
        <x:f>C10-C12-C13-C14</x:f>
        <x:v>-60.6130048</x:v>
      </x:c>
      <x:c r="D15" s="127" t="n">
        <x:f>D10-D12-D13-D14</x:f>
        <x:v>-34.355008</x:v>
      </x:c>
      <x:c r="E15" s="127" t="n">
        <x:f>E10-E12-E13-E14</x:f>
        <x:v>75.88561075199999</x:v>
      </x:c>
      <x:c r="F15" s="127" t="n">
        <x:f>F10-F12-F13-F14</x:f>
        <x:v>81.96696281087999</x:v>
      </x:c>
      <x:c r="G15" s="99" t="str">
        <x:v>MXN mm</x:v>
      </x:c>
    </x:row>
    <x:row r="16">
      <x:c r="A16" t="str">
        <x:v>Cumulative cash flow</x:v>
      </x:c>
      <x:c r="B16" s="122" t="n">
        <x:f>B15</x:f>
        <x:v>-82.93230208</x:v>
      </x:c>
      <x:c r="C16" s="122" t="n">
        <x:f>B16+C15</x:f>
        <x:v>-143.54530688</x:v>
      </x:c>
      <x:c r="D16" s="122" t="n">
        <x:f>C16+D15</x:f>
        <x:v>-177.90031488</x:v>
      </x:c>
      <x:c r="E16" s="122" t="n">
        <x:f>D16+E15</x:f>
        <x:v>-102.014704128</x:v>
      </x:c>
      <x:c r="F16" s="122" t="n">
        <x:f>E16+F15</x:f>
        <x:v>-20.047741317120014</x:v>
      </x:c>
      <x:c r="G16" t="str">
        <x:v>MXN mm</x:v>
      </x:c>
    </x:row>
    <x:row r="17">
      <x:c r="A17" t="str">
        <x:v>Discount factor</x:v>
      </x:c>
      <x:c r="B17" s="124" t="n">
        <x:f>1/(1+12%)^1</x:f>
        <x:v>0.8928571428571428</x:v>
      </x:c>
      <x:c r="C17" s="124" t="n">
        <x:f>1/(1+12%)^2</x:f>
        <x:v>0.7971938775510203</x:v>
      </x:c>
      <x:c r="D17" s="124" t="n">
        <x:f>1/(1+12%)^3</x:f>
        <x:v>0.7117802478134109</x:v>
      </x:c>
      <x:c r="E17" s="124" t="n">
        <x:f>1/(1+12%)^4</x:f>
        <x:v>0.6355180784048312</x:v>
      </x:c>
      <x:c r="F17" s="124" t="n">
        <x:f>1/(1+12%)^5</x:f>
        <x:v>0.5674268557185992</x:v>
      </x:c>
      <x:c r="G17" t="str">
        <x:v>x</x:v>
      </x:c>
    </x:row>
    <x:row r="18">
      <x:c r="A18" t="str">
        <x:v>Present value</x:v>
      </x:c>
      <x:c r="B18" s="122" t="n">
        <x:f>B15*B17</x:f>
        <x:v>-74.04669828571429</x:v>
      </x:c>
      <x:c r="C18" s="122" t="n">
        <x:f>C15*C17</x:f>
        <x:v>-48.32031632653061</x:v>
      </x:c>
      <x:c r="D18" s="122" t="n">
        <x:f>D15*D17</x:f>
        <x:v>-24.45321610787171</x:v>
      </x:c>
      <x:c r="E18" s="122" t="n">
        <x:f>E15*E17</x:f>
        <x:v>48.22667752368803</x:v>
      </x:c>
      <x:c r="F18" s="122" t="n">
        <x:f>F15*F17</x:f>
        <x:v>46.510255980580986</x:v>
      </x:c>
      <x:c r="G18" t="str">
        <x:v>MXN mm</x:v>
      </x:c>
    </x:row>
    <x:row r="21" ht="21" customHeight="1">
      <x:c r="A21" s="13" t="str">
        <x:v>Return summary</x:v>
      </x:c>
      <x:c r="B21" s="13"/>
      <x:c r="C21" s="13"/>
      <x:c r="D21" s="13"/>
    </x:row>
    <x:row r="22">
      <x:c r="A22" s="62" t="str">
        <x:v>Metric</x:v>
      </x:c>
      <x:c r="B22" s="62" t="str">
        <x:v>Output</x:v>
      </x:c>
    </x:row>
    <x:row r="23">
      <x:c r="A23" t="str">
        <x:v>Total openings</x:v>
      </x:c>
      <x:c r="B23" s="90" t="n">
        <x:f>'Rollout Plan'!E9</x:f>
        <x:v>30</x:v>
      </x:c>
    </x:row>
    <x:row r="24">
      <x:c r="A24" t="str">
        <x:v>Year 5 revenue</x:v>
      </x:c>
      <x:c r="B24" s="116" t="n">
        <x:f>F9</x:f>
        <x:v>611.6937523199999</x:v>
      </x:c>
    </x:row>
    <x:row r="25">
      <x:c r="A25" t="str">
        <x:v>Year 5 EBITDA</x:v>
      </x:c>
      <x:c r="B25" s="116" t="n">
        <x:f>F10</x:f>
        <x:v>134.57262551039997</x:v>
      </x:c>
    </x:row>
    <x:row r="26">
      <x:c r="A26" t="str">
        <x:v>5-year NPV at 12%</x:v>
      </x:c>
      <x:c r="B26" s="116" t="n">
        <x:f>SUM(B18:F18)</x:f>
        <x:v>-52.0832972158476</x:v>
      </x:c>
    </x:row>
    <x:row r="27">
      <x:c r="A27" t="str">
        <x:v>Cash payback achieved?</x:v>
      </x:c>
      <x:c r="B27" s="80" t="str">
        <x:f>IF(F16&gt;=0,"Yes","No - beyond Year 5")</x:f>
        <x:v>No - beyond Year 5</x:v>
      </x:c>
    </x:row>
    <x:row r="29">
      <x:c r="A29" s="98" t="str">
        <x:v>Terminal growth</x:v>
      </x:c>
      <x:c r="B29" s="144" t="n">
        <x:v>0.03</x:v>
      </x:c>
    </x:row>
    <x:row r="30">
      <x:c r="A30" s="98" t="str">
        <x:v>Terminal value at Year 5</x:v>
      </x:c>
      <x:c r="B30" s="116" t="n">
        <x:f>F15*(1+B29)/(12%-B29)</x:f>
        <x:v>938.0663521689601</x:v>
      </x:c>
    </x:row>
    <x:row r="31">
      <x:c r="A31" s="98" t="str">
        <x:v>PV of terminal value</x:v>
      </x:c>
      <x:c r="B31" s="116" t="n">
        <x:f>B30*F17</x:f>
        <x:v>532.2840406666492</x:v>
      </x:c>
    </x:row>
    <x:row r="32">
      <x:c r="A32" s="149" t="str">
        <x:v>NPV including terminal value</x:v>
      </x:c>
      <x:c r="B32" s="150" t="n">
        <x:f>B26+B31</x:f>
        <x:v>480.20074345080155</x:v>
      </x:c>
    </x:row>
    <x:row r="33">
      <x:c r="A33" s="152" t="str">
        <x:v>Interpretation</x:v>
      </x:c>
      <x:c r="B33" s="152" t="str">
        <x:v>Long-lived stores require a continuing-value assumption; this output is highly sensitive.</x:v>
      </x:c>
    </x:row>
  </x:sheetData>
  <x:mergeCells>
    <x:mergeCell ref="A1:G1"/>
    <x:mergeCell ref="A21:D2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</x:cols>
  <x:sheetData>
    <x:row r="1" ht="30" customHeight="1">
      <x:c r="A1" s="5" t="str">
        <x:v>Unit-economics sensitivity</x:v>
      </x:c>
      <x:c r="B1" s="5"/>
      <x:c r="C1" s="5"/>
      <x:c r="D1" s="5"/>
      <x:c r="E1" s="5"/>
      <x:c r="F1" s="5"/>
      <x:c r="G1" s="5"/>
      <x:c r="H1" s="5"/>
    </x:row>
    <x:row r="3" ht="21" customHeight="1">
      <x:c r="A3" s="13" t="str">
        <x:v>Mature store cash contribution (MXN mm)</x:v>
      </x:c>
      <x:c r="B3" s="13"/>
      <x:c r="C3" s="13"/>
      <x:c r="D3" s="13"/>
      <x:c r="E3" s="13"/>
      <x:c r="F3" s="13"/>
      <x:c r="G3" s="13"/>
      <x:c r="H3" s="13"/>
    </x:row>
    <x:row r="4">
      <x:c r="A4" s="62" t="str">
        <x:v>Transactions / day</x:v>
      </x:c>
      <x:c r="B4" s="130" t="n">
        <x:v>115</x:v>
      </x:c>
      <x:c r="C4" s="130" t="n">
        <x:v>125</x:v>
      </x:c>
      <x:c r="D4" s="130" t="n">
        <x:v>135</x:v>
      </x:c>
      <x:c r="E4" s="130" t="n">
        <x:v>145</x:v>
      </x:c>
      <x:c r="F4" s="130" t="n">
        <x:v>155</x:v>
      </x:c>
    </x:row>
    <x:row r="5">
      <x:c r="A5" s="130" t="n">
        <x:v>320</x:v>
      </x:c>
      <x:c r="B5" s="116" t="n">
        <x:f>((B$4*$A5*'Unit Economics'!$B$7/1000000)*(1-'Unit Economics'!$B$13)*'Unit Economics'!$B$9)*(1-'Unit Economics'!$B$12)-((B$4*$A5*'Unit Economics'!$B$7/1000000)*(1-'Unit Economics'!$B$13)*'Unit Economics'!$B$11)</x:f>
        <x:v>1.7042227199999997</x:v>
      </x:c>
      <x:c r="C5" s="116" t="n">
        <x:f>((C$4*$A5*'Unit Economics'!$B$7/1000000)*(1-'Unit Economics'!$B$13)*'Unit Economics'!$B$9)*(1-'Unit Economics'!$B$12)-((C$4*$A5*'Unit Economics'!$B$7/1000000)*(1-'Unit Economics'!$B$13)*'Unit Economics'!$B$11)</x:f>
        <x:v>1.8524159999999996</x:v>
      </x:c>
      <x:c r="D5" s="116" t="n">
        <x:f>((D$4*$A5*'Unit Economics'!$B$7/1000000)*(1-'Unit Economics'!$B$13)*'Unit Economics'!$B$9)*(1-'Unit Economics'!$B$12)-((D$4*$A5*'Unit Economics'!$B$7/1000000)*(1-'Unit Economics'!$B$13)*'Unit Economics'!$B$11)</x:f>
        <x:v>2.0006092799999995</x:v>
      </x:c>
      <x:c r="E5" s="116" t="n">
        <x:f>((E$4*$A5*'Unit Economics'!$B$7/1000000)*(1-'Unit Economics'!$B$13)*'Unit Economics'!$B$9)*(1-'Unit Economics'!$B$12)-((E$4*$A5*'Unit Economics'!$B$7/1000000)*(1-'Unit Economics'!$B$13)*'Unit Economics'!$B$11)</x:f>
        <x:v>2.14880256</x:v>
      </x:c>
      <x:c r="F5" s="116" t="n">
        <x:f>((F$4*$A5*'Unit Economics'!$B$7/1000000)*(1-'Unit Economics'!$B$13)*'Unit Economics'!$B$9)*(1-'Unit Economics'!$B$12)-((F$4*$A5*'Unit Economics'!$B$7/1000000)*(1-'Unit Economics'!$B$13)*'Unit Economics'!$B$11)</x:f>
        <x:v>2.29699584</x:v>
      </x:c>
    </x:row>
    <x:row r="6">
      <x:c r="A6" s="130" t="n">
        <x:v>370</x:v>
      </x:c>
      <x:c r="B6" s="116" t="n">
        <x:f>((B$4*$A6*'Unit Economics'!$B$7/1000000)*(1-'Unit Economics'!$B$13)*'Unit Economics'!$B$9)*(1-'Unit Economics'!$B$12)-((B$4*$A6*'Unit Economics'!$B$7/1000000)*(1-'Unit Economics'!$B$13)*'Unit Economics'!$B$11)</x:f>
        <x:v>1.9705075199999995</x:v>
      </x:c>
      <x:c r="C6" s="116" t="n">
        <x:f>((C$4*$A6*'Unit Economics'!$B$7/1000000)*(1-'Unit Economics'!$B$13)*'Unit Economics'!$B$9)*(1-'Unit Economics'!$B$12)-((C$4*$A6*'Unit Economics'!$B$7/1000000)*(1-'Unit Economics'!$B$13)*'Unit Economics'!$B$11)</x:f>
        <x:v>2.1418559999999998</x:v>
      </x:c>
      <x:c r="D6" s="116" t="n">
        <x:f>((D$4*$A6*'Unit Economics'!$B$7/1000000)*(1-'Unit Economics'!$B$13)*'Unit Economics'!$B$9)*(1-'Unit Economics'!$B$12)-((D$4*$A6*'Unit Economics'!$B$7/1000000)*(1-'Unit Economics'!$B$13)*'Unit Economics'!$B$11)</x:f>
        <x:v>2.3132044799999996</x:v>
      </x:c>
      <x:c r="E6" s="116" t="n">
        <x:f>((E$4*$A6*'Unit Economics'!$B$7/1000000)*(1-'Unit Economics'!$B$13)*'Unit Economics'!$B$9)*(1-'Unit Economics'!$B$12)-((E$4*$A6*'Unit Economics'!$B$7/1000000)*(1-'Unit Economics'!$B$13)*'Unit Economics'!$B$11)</x:f>
        <x:v>2.4845529599999994</x:v>
      </x:c>
      <x:c r="F6" s="116" t="n">
        <x:f>((F$4*$A6*'Unit Economics'!$B$7/1000000)*(1-'Unit Economics'!$B$13)*'Unit Economics'!$B$9)*(1-'Unit Economics'!$B$12)-((F$4*$A6*'Unit Economics'!$B$7/1000000)*(1-'Unit Economics'!$B$13)*'Unit Economics'!$B$11)</x:f>
        <x:v>2.65590144</x:v>
      </x:c>
    </x:row>
    <x:row r="7">
      <x:c r="A7" s="130" t="n">
        <x:v>420</x:v>
      </x:c>
      <x:c r="B7" s="116" t="n">
        <x:f>((B$4*$A7*'Unit Economics'!$B$7/1000000)*(1-'Unit Economics'!$B$13)*'Unit Economics'!$B$9)*(1-'Unit Economics'!$B$12)-((B$4*$A7*'Unit Economics'!$B$7/1000000)*(1-'Unit Economics'!$B$13)*'Unit Economics'!$B$11)</x:f>
        <x:v>2.2367923199999997</x:v>
      </x:c>
      <x:c r="C7" s="116" t="n">
        <x:f>((C$4*$A7*'Unit Economics'!$B$7/1000000)*(1-'Unit Economics'!$B$13)*'Unit Economics'!$B$9)*(1-'Unit Economics'!$B$12)-((C$4*$A7*'Unit Economics'!$B$7/1000000)*(1-'Unit Economics'!$B$13)*'Unit Economics'!$B$11)</x:f>
        <x:v>2.4312959999999997</x:v>
      </x:c>
      <x:c r="D7" s="116" t="n">
        <x:f>((D$4*$A7*'Unit Economics'!$B$7/1000000)*(1-'Unit Economics'!$B$13)*'Unit Economics'!$B$9)*(1-'Unit Economics'!$B$12)-((D$4*$A7*'Unit Economics'!$B$7/1000000)*(1-'Unit Economics'!$B$13)*'Unit Economics'!$B$11)</x:f>
        <x:v>2.6257996799999996</x:v>
      </x:c>
      <x:c r="E7" s="116" t="n">
        <x:f>((E$4*$A7*'Unit Economics'!$B$7/1000000)*(1-'Unit Economics'!$B$13)*'Unit Economics'!$B$9)*(1-'Unit Economics'!$B$12)-((E$4*$A7*'Unit Economics'!$B$7/1000000)*(1-'Unit Economics'!$B$13)*'Unit Economics'!$B$11)</x:f>
        <x:v>2.82030336</x:v>
      </x:c>
      <x:c r="F7" s="116" t="n">
        <x:f>((F$4*$A7*'Unit Economics'!$B$7/1000000)*(1-'Unit Economics'!$B$13)*'Unit Economics'!$B$9)*(1-'Unit Economics'!$B$12)-((F$4*$A7*'Unit Economics'!$B$7/1000000)*(1-'Unit Economics'!$B$13)*'Unit Economics'!$B$11)</x:f>
        <x:v>3.01480704</x:v>
      </x:c>
    </x:row>
    <x:row r="8">
      <x:c r="A8" s="130" t="n">
        <x:v>470</x:v>
      </x:c>
      <x:c r="B8" s="116" t="n">
        <x:f>((B$4*$A8*'Unit Economics'!$B$7/1000000)*(1-'Unit Economics'!$B$13)*'Unit Economics'!$B$9)*(1-'Unit Economics'!$B$12)-((B$4*$A8*'Unit Economics'!$B$7/1000000)*(1-'Unit Economics'!$B$13)*'Unit Economics'!$B$11)</x:f>
        <x:v>2.5030771199999995</x:v>
      </x:c>
      <x:c r="C8" s="116" t="n">
        <x:f>((C$4*$A8*'Unit Economics'!$B$7/1000000)*(1-'Unit Economics'!$B$13)*'Unit Economics'!$B$9)*(1-'Unit Economics'!$B$12)-((C$4*$A8*'Unit Economics'!$B$7/1000000)*(1-'Unit Economics'!$B$13)*'Unit Economics'!$B$11)</x:f>
        <x:v>2.7207359999999996</x:v>
      </x:c>
      <x:c r="D8" s="116" t="n">
        <x:f>((D$4*$A8*'Unit Economics'!$B$7/1000000)*(1-'Unit Economics'!$B$13)*'Unit Economics'!$B$9)*(1-'Unit Economics'!$B$12)-((D$4*$A8*'Unit Economics'!$B$7/1000000)*(1-'Unit Economics'!$B$13)*'Unit Economics'!$B$11)</x:f>
        <x:v>2.93839488</x:v>
      </x:c>
      <x:c r="E8" s="116" t="n">
        <x:f>((E$4*$A8*'Unit Economics'!$B$7/1000000)*(1-'Unit Economics'!$B$13)*'Unit Economics'!$B$9)*(1-'Unit Economics'!$B$12)-((E$4*$A8*'Unit Economics'!$B$7/1000000)*(1-'Unit Economics'!$B$13)*'Unit Economics'!$B$11)</x:f>
        <x:v>3.1560537599999994</x:v>
      </x:c>
      <x:c r="F8" s="116" t="n">
        <x:f>((F$4*$A8*'Unit Economics'!$B$7/1000000)*(1-'Unit Economics'!$B$13)*'Unit Economics'!$B$9)*(1-'Unit Economics'!$B$12)-((F$4*$A8*'Unit Economics'!$B$7/1000000)*(1-'Unit Economics'!$B$13)*'Unit Economics'!$B$11)</x:f>
        <x:v>3.3737126399999995</x:v>
      </x:c>
    </x:row>
    <x:row r="9">
      <x:c r="A9" s="130" t="n">
        <x:v>520</x:v>
      </x:c>
      <x:c r="B9" s="116" t="n">
        <x:f>((B$4*$A9*'Unit Economics'!$B$7/1000000)*(1-'Unit Economics'!$B$13)*'Unit Economics'!$B$9)*(1-'Unit Economics'!$B$12)-((B$4*$A9*'Unit Economics'!$B$7/1000000)*(1-'Unit Economics'!$B$13)*'Unit Economics'!$B$11)</x:f>
        <x:v>2.7693619199999997</x:v>
      </x:c>
      <x:c r="C9" s="116" t="n">
        <x:f>((C$4*$A9*'Unit Economics'!$B$7/1000000)*(1-'Unit Economics'!$B$13)*'Unit Economics'!$B$9)*(1-'Unit Economics'!$B$12)-((C$4*$A9*'Unit Economics'!$B$7/1000000)*(1-'Unit Economics'!$B$13)*'Unit Economics'!$B$11)</x:f>
        <x:v>3.010176</x:v>
      </x:c>
      <x:c r="D9" s="116" t="n">
        <x:f>((D$4*$A9*'Unit Economics'!$B$7/1000000)*(1-'Unit Economics'!$B$13)*'Unit Economics'!$B$9)*(1-'Unit Economics'!$B$12)-((D$4*$A9*'Unit Economics'!$B$7/1000000)*(1-'Unit Economics'!$B$13)*'Unit Economics'!$B$11)</x:f>
        <x:v>3.2509900799999993</x:v>
      </x:c>
      <x:c r="E9" s="116" t="n">
        <x:f>((E$4*$A9*'Unit Economics'!$B$7/1000000)*(1-'Unit Economics'!$B$13)*'Unit Economics'!$B$9)*(1-'Unit Economics'!$B$12)-((E$4*$A9*'Unit Economics'!$B$7/1000000)*(1-'Unit Economics'!$B$13)*'Unit Economics'!$B$11)</x:f>
        <x:v>3.491804159999999</x:v>
      </x:c>
      <x:c r="F9" s="116" t="n">
        <x:f>((F$4*$A9*'Unit Economics'!$B$7/1000000)*(1-'Unit Economics'!$B$13)*'Unit Economics'!$B$9)*(1-'Unit Economics'!$B$12)-((F$4*$A9*'Unit Economics'!$B$7/1000000)*(1-'Unit Economics'!$B$13)*'Unit Economics'!$B$11)</x:f>
        <x:v>3.732618239999999</x:v>
      </x:c>
    </x:row>
    <x:row r="12">
      <x:c r="A12" s="94" t="str">
        <x:v>The project should not depend on one precise ticket or traffic estimate. The sensitivity grid shows how mature cash contribution changes across plausible operating outcomes. Before real investment, site-level rent, labor, delivery mix, channel margins and local competition would be added.</x:v>
      </x:c>
      <x:c r="B12" s="94"/>
      <x:c r="C12" s="94"/>
      <x:c r="D12" s="94"/>
      <x:c r="E12" s="94"/>
      <x:c r="F12" s="94"/>
      <x:c r="G12" s="94"/>
      <x:c r="H12" s="94"/>
    </x:row>
    <x:row r="13">
      <x:c r="A13" s="94"/>
      <x:c r="B13" s="94"/>
      <x:c r="C13" s="94"/>
      <x:c r="D13" s="94"/>
      <x:c r="E13" s="94"/>
      <x:c r="F13" s="94"/>
      <x:c r="G13" s="94"/>
      <x:c r="H13" s="94"/>
    </x:row>
    <x:row r="14">
      <x:c r="A14" s="94"/>
      <x:c r="B14" s="94"/>
      <x:c r="C14" s="94"/>
      <x:c r="D14" s="94"/>
      <x:c r="E14" s="94"/>
      <x:c r="F14" s="94"/>
      <x:c r="G14" s="94"/>
      <x:c r="H14" s="94"/>
    </x:row>
    <x:row r="15">
      <x:c r="A15" s="94"/>
      <x:c r="B15" s="94"/>
      <x:c r="C15" s="94"/>
      <x:c r="D15" s="94"/>
      <x:c r="E15" s="94"/>
      <x:c r="F15" s="94"/>
      <x:c r="G15" s="94"/>
      <x:c r="H15" s="94"/>
    </x:row>
    <x:row r="16">
      <x:c r="A16" s="94"/>
      <x:c r="B16" s="94"/>
      <x:c r="C16" s="94"/>
      <x:c r="D16" s="94"/>
      <x:c r="E16" s="94"/>
      <x:c r="F16" s="94"/>
      <x:c r="G16" s="94"/>
      <x:c r="H16" s="94"/>
    </x:row>
  </x:sheetData>
  <x:mergeCells>
    <x:mergeCell ref="A1:H1"/>
    <x:mergeCell ref="A3:H3"/>
    <x:mergeCell ref="A12:H16"/>
  </x:mergeCells>
  <x:conditionalFormatting sqref="B5:F9">
    <x:cfRule type="colorScale" priority="1">
      <x:colorScale>
        <x:cfvo type="min"/>
        <x:cfvo type="percentile" val="50"/>
        <x:cfvo type="max"/>
        <x:color rgb="FFF8CBAD"/>
        <x:color rgb="FFFFE699"/>
        <x:color rgb="FFC6E0B4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" hidden="0" customWidth="1"/>
    <x:col min="8" max="8" width="2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5" t="str">
        <x:v>Starbucks Northern Mexico - interview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 ht="21" customHeight="1">
      <x:c r="A3" s="13" t="str">
        <x:v>City ranking and rollout</x:v>
      </x:c>
      <x:c r="B3" s="13"/>
      <x:c r="C3" s="13"/>
      <x:c r="D3" s="13"/>
      <x:c r="E3" s="13"/>
      <x:c r="F3" s="13"/>
      <x:c r="H3" s="13" t="str">
        <x:v>Recommendation</x:v>
      </x:c>
      <x:c r="I3" s="13"/>
      <x:c r="J3" s="13"/>
      <x:c r="K3" s="13"/>
      <x:c r="L3" s="13"/>
      <x:c r="M3" s="13"/>
      <x:c r="N3" s="13"/>
    </x:row>
    <x:row r="4">
      <x:c r="A4" s="62" t="str">
        <x:v>City</x:v>
      </x:c>
      <x:c r="B4" s="62" t="str">
        <x:v>Attractiveness score</x:v>
      </x:c>
      <x:c r="C4" s="62" t="str">
        <x:v>Rank</x:v>
      </x:c>
      <x:c r="D4" s="62" t="str">
        <x:v>Planned stores</x:v>
      </x:c>
      <x:c r="H4" s="135" t="str">
        <x:v>Proceed with a staged pilot, not a blanket rollout.
1. Anchor the first cluster in Monterrey and the second in Tijuana.
2. Use Saltillo as a lower-risk adjacency.
3. Gate Chihuahua and Hermosillo expansion on 12-month sales, margin and cannibalization thresholds.
4. Stop or redesign the program if unit economics miss the gate - even when the city score looks attractive.</x:v>
      </x:c>
      <x:c r="I4" s="135"/>
      <x:c r="J4" s="135"/>
      <x:c r="K4" s="135"/>
      <x:c r="L4" s="135"/>
      <x:c r="M4" s="135"/>
      <x:c r="N4" s="135"/>
    </x:row>
    <x:row r="5">
      <x:c r="A5" s="78" t="str">
        <x:f>'City Scorecard'!A4</x:f>
        <x:v>Monterrey</x:v>
      </x:c>
      <x:c r="B5" s="86" t="n">
        <x:f>'City Scorecard'!L4</x:f>
        <x:v>95</x:v>
      </x:c>
      <x:c r="C5" s="105" t="n">
        <x:f>'City Scorecard'!M4</x:f>
        <x:v>1</x:v>
      </x:c>
      <x:c r="D5" s="105" t="n">
        <x:f>'Rollout Plan'!E4</x:f>
        <x:v>10</x:v>
      </x:c>
      <x:c r="H5" s="135"/>
      <x:c r="I5" s="135"/>
      <x:c r="J5" s="135"/>
      <x:c r="K5" s="135"/>
      <x:c r="L5" s="135"/>
      <x:c r="M5" s="135"/>
      <x:c r="N5" s="135"/>
    </x:row>
    <x:row r="6">
      <x:c r="A6" s="78" t="str">
        <x:f>'City Scorecard'!A5</x:f>
        <x:v>Tijuana</x:v>
      </x:c>
      <x:c r="B6" s="86" t="n">
        <x:f>'City Scorecard'!L5</x:f>
        <x:v>52.35635295036407</x:v>
      </x:c>
      <x:c r="C6" s="105" t="n">
        <x:f>'City Scorecard'!M5</x:f>
        <x:v>2</x:v>
      </x:c>
      <x:c r="D6" s="105" t="n">
        <x:f>'Rollout Plan'!E5</x:f>
        <x:v>8</x:v>
      </x:c>
      <x:c r="H6" s="135"/>
      <x:c r="I6" s="135"/>
      <x:c r="J6" s="135"/>
      <x:c r="K6" s="135"/>
      <x:c r="L6" s="135"/>
      <x:c r="M6" s="135"/>
      <x:c r="N6" s="135"/>
    </x:row>
    <x:row r="7">
      <x:c r="A7" s="78" t="str">
        <x:f>'City Scorecard'!A6</x:f>
        <x:v>Saltillo</x:v>
      </x:c>
      <x:c r="B7" s="86" t="n">
        <x:f>'City Scorecard'!L6</x:f>
        <x:v>41.72560543368914</x:v>
      </x:c>
      <x:c r="C7" s="105" t="n">
        <x:f>'City Scorecard'!M6</x:f>
        <x:v>3</x:v>
      </x:c>
      <x:c r="D7" s="105" t="n">
        <x:f>'Rollout Plan'!E6</x:f>
        <x:v>5</x:v>
      </x:c>
      <x:c r="H7" s="135"/>
      <x:c r="I7" s="135"/>
      <x:c r="J7" s="135"/>
      <x:c r="K7" s="135"/>
      <x:c r="L7" s="135"/>
      <x:c r="M7" s="135"/>
      <x:c r="N7" s="135"/>
    </x:row>
    <x:row r="8">
      <x:c r="A8" s="78" t="str">
        <x:f>'City Scorecard'!A7</x:f>
        <x:v>Chihuahua</x:v>
      </x:c>
      <x:c r="B8" s="86" t="n">
        <x:f>'City Scorecard'!L7</x:f>
        <x:v>40.29493501273048</x:v>
      </x:c>
      <x:c r="C8" s="105" t="n">
        <x:f>'City Scorecard'!M7</x:f>
        <x:v>4</x:v>
      </x:c>
      <x:c r="D8" s="105" t="n">
        <x:f>'Rollout Plan'!E7</x:f>
        <x:v>4</x:v>
      </x:c>
      <x:c r="H8" s="135"/>
      <x:c r="I8" s="135"/>
      <x:c r="J8" s="135"/>
      <x:c r="K8" s="135"/>
      <x:c r="L8" s="135"/>
      <x:c r="M8" s="135"/>
      <x:c r="N8" s="135"/>
    </x:row>
    <x:row r="9">
      <x:c r="A9" s="78" t="str">
        <x:f>'City Scorecard'!A8</x:f>
        <x:v>Hermosillo</x:v>
      </x:c>
      <x:c r="B9" s="86" t="n">
        <x:f>'City Scorecard'!L8</x:f>
        <x:v>38.7</x:v>
      </x:c>
      <x:c r="C9" s="105" t="n">
        <x:f>'City Scorecard'!M8</x:f>
        <x:v>5</x:v>
      </x:c>
      <x:c r="D9" s="105" t="n">
        <x:f>'Rollout Plan'!E8</x:f>
        <x:v>3</x:v>
      </x:c>
      <x:c r="H9" s="135"/>
      <x:c r="I9" s="135"/>
      <x:c r="J9" s="135"/>
      <x:c r="K9" s="135"/>
      <x:c r="L9" s="135"/>
      <x:c r="M9" s="135"/>
      <x:c r="N9" s="135"/>
    </x:row>
    <x:row r="10">
      <x:c r="H10" s="135"/>
      <x:c r="I10" s="135"/>
      <x:c r="J10" s="135"/>
      <x:c r="K10" s="135"/>
      <x:c r="L10" s="135"/>
      <x:c r="M10" s="135"/>
      <x:c r="N10" s="135"/>
    </x:row>
    <x:row r="11">
      <x:c r="H11" s="135"/>
      <x:c r="I11" s="135"/>
      <x:c r="J11" s="135"/>
      <x:c r="K11" s="135"/>
      <x:c r="L11" s="135"/>
      <x:c r="M11" s="135"/>
      <x:c r="N11" s="135"/>
    </x:row>
    <x:row r="12" ht="21" customHeight="1">
      <x:c r="A12" s="13" t="str">
        <x:v>Economics summary</x:v>
      </x:c>
      <x:c r="B12" s="13"/>
      <x:c r="C12" s="13"/>
      <x:c r="D12" s="13"/>
      <x:c r="E12" s="13"/>
      <x:c r="F12" s="13"/>
      <x:c r="H12" s="135"/>
      <x:c r="I12" s="135"/>
      <x:c r="J12" s="135"/>
      <x:c r="K12" s="135"/>
      <x:c r="L12" s="135"/>
      <x:c r="M12" s="135"/>
      <x:c r="N12" s="135"/>
    </x:row>
    <x:row r="13">
      <x:c r="A13" s="62" t="str">
        <x:v>Metric</x:v>
      </x:c>
      <x:c r="B13" s="62" t="str">
        <x:v>Output</x:v>
      </x:c>
      <x:c r="C13" s="62" t="str">
        <x:v>Unit</x:v>
      </x:c>
      <x:c r="H13" s="135"/>
      <x:c r="I13" s="135"/>
      <x:c r="J13" s="135"/>
      <x:c r="K13" s="135"/>
      <x:c r="L13" s="135"/>
      <x:c r="M13" s="135"/>
      <x:c r="N13" s="135"/>
    </x:row>
    <x:row r="14">
      <x:c r="A14" t="str">
        <x:v>Total openings</x:v>
      </x:c>
      <x:c r="B14" s="105" t="n">
        <x:f>'5-Year P&amp;L'!B23</x:f>
        <x:v>30</x:v>
      </x:c>
      <x:c r="C14" t="str">
        <x:v>stores</x:v>
      </x:c>
    </x:row>
    <x:row r="15">
      <x:c r="A15" t="str">
        <x:v>Mature revenue / store</x:v>
      </x:c>
      <x:c r="B15" s="122" t="n">
        <x:f>'Unit Economics'!B25</x:f>
        <x:v>19.595519999999997</x:v>
      </x:c>
      <x:c r="C15" t="str">
        <x:v>MXN mm</x:v>
      </x:c>
    </x:row>
    <x:row r="16" ht="21" customHeight="1">
      <x:c r="A16" t="str">
        <x:v>Mature cash contribution / store</x:v>
      </x:c>
      <x:c r="B16" s="122" t="n">
        <x:f>'Unit Economics'!B29</x:f>
        <x:v>2.6257996799999996</x:v>
      </x:c>
      <x:c r="C16" t="str">
        <x:v>MXN mm</x:v>
      </x:c>
      <x:c r="H16" s="13" t="str">
        <x:v>Primary risks</x:v>
      </x:c>
      <x:c r="I16" s="13"/>
      <x:c r="J16" s="13"/>
      <x:c r="K16" s="13"/>
      <x:c r="L16" s="13"/>
      <x:c r="M16" s="13"/>
      <x:c r="N16" s="13"/>
    </x:row>
    <x:row r="17">
      <x:c r="A17" t="str">
        <x:v>Year 5 portfolio revenue</x:v>
      </x:c>
      <x:c r="B17" s="122" t="n">
        <x:f>'5-Year P&amp;L'!B24</x:f>
        <x:v>611.6937523199999</x:v>
      </x:c>
      <x:c r="C17" t="str">
        <x:v>MXN mm</x:v>
      </x:c>
      <x:c r="H17" s="62" t="str">
        <x:v>Risk</x:v>
      </x:c>
      <x:c r="I17" s="62" t="str">
        <x:v>Mitigation</x:v>
      </x:c>
      <x:c r="J17" s="62" t="str"/>
      <x:c r="K17" s="62" t="str"/>
      <x:c r="L17" s="62" t="str"/>
      <x:c r="M17" s="62" t="str"/>
      <x:c r="N17" s="62" t="str"/>
    </x:row>
    <x:row r="18">
      <x:c r="A18" t="str">
        <x:v>5-year NPV at 12%</x:v>
      </x:c>
      <x:c r="B18" s="122" t="n">
        <x:f>'5-Year P&amp;L'!B26</x:f>
        <x:v>-52.0832972158476</x:v>
      </x:c>
      <x:c r="C18" t="str">
        <x:v>MXN mm</x:v>
      </x:c>
      <x:c r="H18" s="18" t="str">
        <x:v>Site-level saturation</x:v>
      </x:c>
      <x:c r="I18" s="18" t="str">
        <x:v>Map current stores and trade areas before lease signing</x:v>
      </x:c>
      <x:c r="J18" s="18" t="str"/>
      <x:c r="K18" s="18" t="str"/>
      <x:c r="L18" s="18" t="str"/>
      <x:c r="M18" s="18" t="str"/>
      <x:c r="N18" s="18" t="str"/>
    </x:row>
    <x:row r="19">
      <x:c r="A19" s="153" t="str">
        <x:v>NPV incl. terminal value</x:v>
      </x:c>
      <x:c r="B19" s="154" t="n">
        <x:f>'5-Year P&amp;L'!B32</x:f>
        <x:v>480.20074345080155</x:v>
      </x:c>
      <x:c r="C19" s="153" t="str">
        <x:v>MXN mm</x:v>
      </x:c>
      <x:c r="H19" s="18" t="str">
        <x:v>Cannibalization</x:v>
      </x:c>
      <x:c r="I19" s="18" t="str">
        <x:v>Cluster-level holdout analysis and 8% gate</x:v>
      </x:c>
      <x:c r="J19" s="18" t="str"/>
      <x:c r="K19" s="18" t="str"/>
      <x:c r="L19" s="18" t="str"/>
      <x:c r="M19" s="18" t="str"/>
      <x:c r="N19" s="18" t="str"/>
    </x:row>
    <x:row r="20">
      <x:c r="H20" s="18" t="str">
        <x:v>Rent / wage inflation</x:v>
      </x:c>
      <x:c r="I20" s="18" t="str">
        <x:v>Site hurdle rates and variable-rent negotiations</x:v>
      </x:c>
      <x:c r="J20" s="18" t="str"/>
      <x:c r="K20" s="18" t="str"/>
      <x:c r="L20" s="18" t="str"/>
      <x:c r="M20" s="18" t="str"/>
      <x:c r="N20" s="18" t="str"/>
    </x:row>
    <x:row r="21">
      <x:c r="H21" s="18" t="str">
        <x:v>Traffic below plan</x:v>
      </x:c>
      <x:c r="I21" s="18" t="str">
        <x:v>Smaller pilots, drive-through mix, delivery and digital acquisition</x:v>
      </x:c>
      <x:c r="J21" s="18" t="str"/>
      <x:c r="K21" s="18" t="str"/>
      <x:c r="L21" s="18" t="str"/>
      <x:c r="M21" s="18" t="str"/>
      <x:c r="N21" s="18" t="str"/>
    </x:row>
    <x:row r="22">
      <x:c r="H22" s="18" t="str">
        <x:v>Execution complexity</x:v>
      </x:c>
      <x:c r="I22" s="18" t="str">
        <x:v>Sequence clusters and build local management density</x:v>
      </x:c>
      <x:c r="J22" s="18" t="str"/>
      <x:c r="K22" s="18" t="str"/>
      <x:c r="L22" s="18" t="str"/>
      <x:c r="M22" s="18" t="str"/>
      <x:c r="N22" s="18" t="str"/>
    </x:row>
    <x:row r="23">
      <x:c r="H23" s="18" t="str">
        <x:v>Input-cost volatility</x:v>
      </x:c>
      <x:c r="I23" s="18" t="str">
        <x:v>Menu architecture and procurement scenarios</x:v>
      </x:c>
      <x:c r="J23" s="18" t="str"/>
      <x:c r="K23" s="18" t="str"/>
      <x:c r="L23" s="18" t="str"/>
      <x:c r="M23" s="18" t="str"/>
      <x:c r="N23" s="18" t="str"/>
    </x:row>
    <x:row r="24">
      <x:c r="H24" s="18" t="str"/>
      <x:c r="I24" s="18" t="str"/>
      <x:c r="J24" s="18" t="str"/>
      <x:c r="K24" s="18" t="str"/>
      <x:c r="L24" s="18" t="str"/>
      <x:c r="M24" s="18" t="str"/>
      <x:c r="N24" s="18" t="str"/>
    </x:row>
  </x:sheetData>
  <x:mergeCells>
    <x:mergeCell ref="A1:N1"/>
    <x:mergeCell ref="A3:F3"/>
    <x:mergeCell ref="A12:F12"/>
    <x:mergeCell ref="H3:N3"/>
    <x:mergeCell ref="H4:N13"/>
    <x:mergeCell ref="H16:N16"/>
  </x:mergeCells>
  <x:pageMargins left="0.7" right="0.7" top="0.75" bottom="0.75" header="0.3" footer="0.3"/>
  <x:drawing xmlns:r="http://schemas.openxmlformats.org/officeDocument/2006/relationships" r:id="R20a8d5d80b7e4a25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0" hidden="0" customWidth="1"/>
    <x:col min="4" max="4" width="45" hidden="0" customWidth="1"/>
    <x:col min="5" max="5" width="70" hidden="0" customWidth="1"/>
    <x:col min="6" max="6" width="14" hidden="0" customWidth="1"/>
  </x:cols>
  <x:sheetData>
    <x:row r="1" ht="30" customHeight="1">
      <x:c r="A1" s="5" t="str">
        <x:v>Sources and data lineage</x:v>
      </x:c>
      <x:c r="B1" s="5"/>
      <x:c r="C1" s="5"/>
      <x:c r="D1" s="5"/>
      <x:c r="E1" s="5"/>
      <x:c r="F1" s="5"/>
    </x:row>
    <x:row r="3">
      <x:c r="A3" s="46" t="str">
        <x:v>ID</x:v>
      </x:c>
      <x:c r="B3" s="46" t="str">
        <x:v>Source</x:v>
      </x:c>
      <x:c r="C3" s="46" t="str">
        <x:v>Publisher</x:v>
      </x:c>
      <x:c r="D3" s="46" t="str">
        <x:v>Data used</x:v>
      </x:c>
      <x:c r="E3" s="46" t="str">
        <x:v>URL</x:v>
      </x:c>
      <x:c r="F3" s="46" t="str">
        <x:v>Accessed</x:v>
      </x:c>
    </x:row>
    <x:row r="4">
      <x:c r="A4" s="140" t="str">
        <x:v>S1</x:v>
      </x:c>
      <x:c r="B4" s="140" t="str">
        <x:v>Las Metropolis de Mexico 2020 / Census framework</x:v>
      </x:c>
      <x:c r="C4" s="140" t="str">
        <x:v>CONAPO / INEGI / SEDATU</x:v>
      </x:c>
      <x:c r="D4" s="140" t="str">
        <x:v>Rounded 2020 metro populations for five target cities</x:v>
      </x:c>
      <x:c r="E4" s="140" t="str">
        <x:v>https://www.gob.mx/conapo/documentos/las-metropolis-de-mexico-2020</x:v>
      </x:c>
      <x:c r="F4" s="140" t="str">
        <x:v>2026-08-09</x:v>
      </x:c>
    </x:row>
    <x:row r="5">
      <x:c r="A5" s="140" t="str">
        <x:v>S2</x:v>
      </x:c>
      <x:c r="B5" s="140" t="str">
        <x:v>PIB por Entidad Federativa 2024</x:v>
      </x:c>
      <x:c r="C5" s="140" t="str">
        <x:v>INEGI</x:v>
      </x:c>
      <x:c r="D5" s="140" t="str">
        <x:v>2024 state shares of national GDP: Nuevo Leon, Baja California, Chihuahua, Coahuila and Sonora</x:v>
      </x:c>
      <x:c r="E5" s="140" t="str">
        <x:v>https://www.inegi.org.mx/contenidos/saladeprensa/boletines/2025/pibent/PIBE2024_RR.pdf</x:v>
      </x:c>
      <x:c r="F5" s="140" t="str">
        <x:v>2026-08-09</x:v>
      </x:c>
    </x:row>
    <x:row r="6">
      <x:c r="A6" s="140" t="str">
        <x:v>S3</x:v>
      </x:c>
      <x:c r="B6" s="140" t="str">
        <x:v>Alsea 4Q and Full Year 2025 results</x:v>
      </x:c>
      <x:c r="C6" s="140" t="str">
        <x:v>Alsea</x:v>
      </x:c>
      <x:c r="D6" s="140" t="str">
        <x:v>Mexico sales context and 2025 operating performance</x:v>
      </x:c>
      <x:c r="E6" s="140" t="str">
        <x:v>https://www.alsea.net/uploads/en/documents/reports_quarterly/4_25_results.pdf</x:v>
      </x:c>
      <x:c r="F6" s="140" t="str">
        <x:v>2026-08-09</x:v>
      </x:c>
    </x:row>
    <x:row r="7">
      <x:c r="A7" s="140" t="str">
        <x:v>S4</x:v>
      </x:c>
      <x:c r="B7" s="140" t="str">
        <x:v>Starbucks Mexico 900-store milestone</x:v>
      </x:c>
      <x:c r="C7" s="140" t="str">
        <x:v>Starbucks Mexico</x:v>
      </x:c>
      <x:c r="D7" s="140" t="str">
        <x:v>900 stores reached in March 2025</x:v>
      </x:c>
      <x:c r="E7" s="140" t="str">
        <x:v>https://www.starbucks.com.mx/articulo/starbucks-expande-su-presencia-en-mexico</x:v>
      </x:c>
      <x:c r="F7" s="140" t="str">
        <x:v>2026-08-09</x:v>
      </x:c>
    </x:row>
    <x:row r="8">
      <x:c r="A8" s="140" t="str">
        <x:v>S5</x:v>
      </x:c>
      <x:c r="B8" s="140" t="str">
        <x:v>Starbucks Mexico 1,000-store ambition</x:v>
      </x:c>
      <x:c r="C8" s="140" t="str">
        <x:v>Starbucks Mexico</x:v>
      </x:c>
      <x:c r="D8" s="140" t="str">
        <x:v>Public target/context that Mexico is the brand's largest Latin America and Caribbean market</x:v>
      </x:c>
      <x:c r="E8" s="140" t="str">
        <x:v>https://www.starbucks.com.mx/articulo/starbucks-mexico-preve-alcanzar-las-1000-tiendas-consolidandose-como</x:v>
      </x:c>
      <x:c r="F8" s="140" t="str">
        <x:v>2026-08-09</x:v>
      </x:c>
    </x:row>
  </x:sheetData>
  <x:mergeCells>
    <x:mergeCell ref="A1:F1"/>
  </x:mergeCells>
  <x:pageMargins left="0.7" right="0.7" top="0.75" bottom="0.75" header="0.3" footer="0.3"/>
</x:worksheet>
</file>